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Algorithmes_Regles" sheetId="2" state="visible" r:id="rId4"/>
    <sheet name="Parametres" sheetId="3" state="visible" r:id="rId5"/>
    <sheet name="Synthese_Couverture" sheetId="4" state="visible" r:id="rId6"/>
    <sheet name="Schema_MIR" sheetId="5" state="visible" r:id="rId7"/>
    <sheet name="Questions_Ouvertes" sheetId="6" state="visible" r:id="rId8"/>
  </sheets>
  <definedNames>
    <definedName function="false" hidden="true" localSheetId="1" name="_xlnm._FilterDatabase" vbProcedure="false">Algorithmes_Regles!$A$2:$R$68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<sst xmlns="http://schemas.openxmlformats.org/spreadsheetml/2006/main" count="1467" uniqueCount="963">
  <si>
    <t xml:space="preserve">Agent BI de scoring automatique — Algorithmie détaillée par bonne pratique</t>
  </si>
  <si>
    <t xml:space="preserve">Veridash · Colas · Référentiel PR_Template_v3 · Document de conception v1.0</t>
  </si>
  <si>
    <t xml:space="preserve">Objet du classeur</t>
  </si>
  <si>
    <t xml:space="preserve">But</t>
  </si>
  <si>
    <t xml:space="preserve">Décrire, pour CHAQUE ligne du référentiel de bonnes pratiques, l'algorithme exact que l'agent exécute lorsqu'il parcourt le fichier Power BI (modèle sémantique, code Power Query M, rapport) afin de conclure OK / KO / PARTIEL / NON APPLICABLE, et avec quel niveau de confiance.</t>
  </si>
  <si>
    <t xml:space="preserve">Onglets</t>
  </si>
  <si>
    <t xml:space="preserve">Algorithmes_Regles</t>
  </si>
  <si>
    <t xml:space="preserve">Cœur du document : 1 ligne = 1 règle ou sous-règle, avec son algorithme, sa métrique, ses seuils, ses preuves et ses limites.</t>
  </si>
  <si>
    <t xml:space="preserve">Parametres</t>
  </si>
  <si>
    <t xml:space="preserve">Tous les seuils et listes administrables. Ce sont les seules valeurs à ajuster : le code ne contient aucune constante en dur.</t>
  </si>
  <si>
    <t xml:space="preserve">Synthese_Couverture</t>
  </si>
  <si>
    <t xml:space="preserve">Taux d'automatisation par catégorie et par criticité, calculé par formules sur l'onglet Algorithmes_Regles.</t>
  </si>
  <si>
    <t xml:space="preserve">Schema_MIR</t>
  </si>
  <si>
    <t xml:space="preserve">Structure de la représentation intermédiaire normalisée (Model Intermediate Representation) sur laquelle toutes les règles s'exécutent.</t>
  </si>
  <si>
    <t xml:space="preserve">Questions_Ouvertes</t>
  </si>
  <si>
    <t xml:space="preserve">Décisions à arbitrer avant développement, avec la valeur par défaut proposée.</t>
  </si>
  <si>
    <t xml:space="preserve">Classes d'automatisation</t>
  </si>
  <si>
    <t xml:space="preserve">A — Déterministe</t>
  </si>
  <si>
    <t xml:space="preserve">La conformité se lit directement dans les artefacts. Confiance ≥ 0,85. Le statut est pré-rempli automatiquement.</t>
  </si>
  <si>
    <t xml:space="preserve">B — Heuristique</t>
  </si>
  <si>
    <t xml:space="preserve">La conformité s'estime par un score et un seuil. Confiance 0,60 à 0,85. Le statut est pré-rempli mais marqué « à confirmer » et ne peut pas descendre en dessous de PARTIEL sans validation humaine.</t>
  </si>
  <si>
    <t xml:space="preserve">C — Humaine</t>
  </si>
  <si>
    <t xml:space="preserve">La conformité dépend d'un acte non observable (tester sur plusieurs navigateurs, profiler avec DAX Studio, juger un besoin futur). L'agent produit un pré-diagnostic chiffré et laisse le statut NON RENSEIGNÉ.</t>
  </si>
  <si>
    <t xml:space="preserve">Profils de seuils (colonne « Profil de seuils »)</t>
  </si>
  <si>
    <t xml:space="preserve">P1 — Strict (bloquant)</t>
  </si>
  <si>
    <t xml:space="preserve">OK si ρ = 1 ; KO sinon. Pas de statut PARTIEL. Réservé aux règles de criticité bloquante et déterministes.</t>
  </si>
  <si>
    <t xml:space="preserve">P2 — Standard</t>
  </si>
  <si>
    <t xml:space="preserve">OK si ρ ≥ 0,95 ; PARTIEL si 0,60 ≤ ρ &lt; 0,95 ; KO si ρ &lt; 0,60.</t>
  </si>
  <si>
    <t xml:space="preserve">P3 — Souple</t>
  </si>
  <si>
    <t xml:space="preserve">OK si ρ ≥ 0,85 ; PARTIEL si 0,50 ≤ ρ &lt; 0,85 ; KO si ρ &lt; 0,50.</t>
  </si>
  <si>
    <t xml:space="preserve">P4 — Seuils absolus</t>
  </si>
  <si>
    <t xml:space="preserve">Le verdict repose sur un compteur et non sur un ratio (ex. potentiel de mesures économisables).</t>
  </si>
  <si>
    <t xml:space="preserve">P5 — Humain</t>
  </si>
  <si>
    <t xml:space="preserve">Aucun statut n'est pré-rempli. L'agent dépose un pré-diagnostic, des preuves et une recommandation.</t>
  </si>
  <si>
    <t xml:space="preserve">Lecture de la colonne « Métrique de conformité »</t>
  </si>
  <si>
    <t xml:space="preserve">ρ (rhô)</t>
  </si>
  <si>
    <t xml:space="preserve">Taux de conformité de la règle, compris entre 0 et 1. C'est ce taux, confronté au profil de seuils, qui produit le statut. Le score global de la revue reste calculé par la formule existante de Veridash, inchangée : score = round((ok + 0,5 × partiel) / évalué × 100).</t>
  </si>
  <si>
    <t xml:space="preserve">Règle d'or</t>
  </si>
  <si>
    <t xml:space="preserve">Ne jamais écraser l'humain</t>
  </si>
  <si>
    <t xml:space="preserve">L'agent n'écrit un statut que sur un point de contrôle NON RENSEIGNÉ. Un statut saisi ou confirmé par un relecteur n'est jamais modifié par une nouvelle exécution : l'agent produit alors un écart signalé.</t>
  </si>
  <si>
    <t xml:space="preserve">Toujours joindre la preuve</t>
  </si>
  <si>
    <t xml:space="preserve">Un statut sans preuve exploitable (objet, emplacement, valeur observée) est refusé par le backend. Sans preuve, l'agent doit répondre INDÉTERMINÉ.</t>
  </si>
  <si>
    <t xml:space="preserve">Algorithmie de l'agent BI — une ligne par bonne pratique</t>
  </si>
  <si>
    <t xml:space="preserve">ID</t>
  </si>
  <si>
    <t xml:space="preserve">Catégorie</t>
  </si>
  <si>
    <t xml:space="preserve">Niveau</t>
  </si>
  <si>
    <t xml:space="preserve">Rattachée à</t>
  </si>
  <si>
    <t xml:space="preserve">Libellé de la bonne pratique</t>
  </si>
  <si>
    <t xml:space="preserve">Criticité</t>
  </si>
  <si>
    <t xml:space="preserve">Classe</t>
  </si>
  <si>
    <t xml:space="preserve">Artefacts lus</t>
  </si>
  <si>
    <t xml:space="preserve">Objets analysés</t>
  </si>
  <si>
    <t xml:space="preserve">Précondition → Non applicable</t>
  </si>
  <si>
    <t xml:space="preserve">Algorithme détaillé exécuté par l'agent</t>
  </si>
  <si>
    <t xml:space="preserve">Métrique de conformité (ρ)</t>
  </si>
  <si>
    <t xml:space="preserve">Profil de seuils</t>
  </si>
  <si>
    <t xml:space="preserve">Confiance</t>
  </si>
  <si>
    <t xml:space="preserve">Preuves collectées (evidence)</t>
  </si>
  <si>
    <t xml:space="preserve">Limites / faux positifs connus</t>
  </si>
  <si>
    <t xml:space="preserve">Remédiation proposée</t>
  </si>
  <si>
    <t xml:space="preserve">Coût algorithmique</t>
  </si>
  <si>
    <t xml:space="preserve">POWER QUERY</t>
  </si>
  <si>
    <t xml:space="preserve">PQ-01</t>
  </si>
  <si>
    <t xml:space="preserve">Power Query</t>
  </si>
  <si>
    <t xml:space="preserve">Règle</t>
  </si>
  <si>
    <t xml:space="preserve">Poussez les transformations en amont, vers la source de données (dataflows / gold) lorsque cela est possible.</t>
  </si>
  <si>
    <t xml:space="preserve">Recommandé</t>
  </si>
  <si>
    <t xml:space="preserve">B</t>
  </si>
  <si>
    <t xml:space="preserve">DataMashup / Section1.m</t>
  </si>
  <si>
    <t xml:space="preserve">Requêtes M, étapes, connecteurs</t>
  </si>
  <si>
    <t xml:space="preserve">NA si aucune requête ne pointe vers une source relationnelle ou un dataflow (100 % fichiers plats locaux).</t>
  </si>
  <si>
    <t xml:space="preserve">1. Parser Section1.m en AST M ; isoler chaque requête partagée (shared X = let ... in ...).
2. Identifier le connecteur racine : Sql.Database, DatabricksMultiCloud.Contents, Odbc.DataSource, PowerPlatform.Dataflows, SharePoint.Files, Excel.Workbook, Csv.Document, Web.Contents.
3. Marquer la requête 'pushdown-éligible' si connecteur ∈ {SQL, Databricks, Dataflow, ODBC}.
4. Pour chaque requête éligible, classer chaque étape aval avec la table de foldabilité :
   FOLDABLE = {Table.SelectRows, Table.SelectColumns, Table.RemoveColumns, Table.RenameColumns, Table.Group, Table.Distinct, Table.Sort, Table.NestedJoin(sur même source), Table.TransformColumnTypes}
   BARRIERE = {Table.Buffer, Table.AddIndexColumn, Table.Combine(sources hétérogènes), appel de fonction personnalisée, List.Generate, Table.AddColumn avec fonction non traduisible}
5. n_push = nb d'étapes FOLDABLE situées AVANT la 1re BARRIERE (= étapes qui auraient dû être en amont).
6. Si une requête native est présente (Value.NativeQuery ou option [Query="..."]) → n_push compté à 0 pour les étapes déjà couvertes par le SQL.
7. ρ = 1 − (Σ n_push / Σ étapes_éligibles).</t>
  </si>
  <si>
    <t xml:space="preserve">ρ = 1 − (étapes foldables restées côté PQ / étapes totales des requêtes éligibles)</t>
  </si>
  <si>
    <t xml:space="preserve">P3 (souple)</t>
  </si>
  <si>
    <t xml:space="preserve">0,75</t>
  </si>
  <si>
    <t xml:space="preserve">requete, etape, fonction_M, position, classement (FOLDABLE/BARRIERE)</t>
  </si>
  <si>
    <t xml:space="preserve">Le folding réel dépend du driver ; une étape théoriquement foldable peut ne pas l'être. Ne remplace pas la vérification 'Afficher la requête native'.</t>
  </si>
  <si>
    <t xml:space="preserve">Déplacer les étapes listées vers la vue gold / le dataflow ou vers la requête SQL à la carte.</t>
  </si>
  <si>
    <t xml:space="preserve">O(S) sur le nb d'étapes — négligeable</t>
  </si>
  <si>
    <t xml:space="preserve">PQ-01a</t>
  </si>
  <si>
    <t xml:space="preserve">Sous-règle</t>
  </si>
  <si>
    <t xml:space="preserve">Utiliser le SQL à la carte lors d'une connexion à Databricks</t>
  </si>
  <si>
    <t xml:space="preserve">A</t>
  </si>
  <si>
    <t xml:space="preserve">Requêtes M avec connecteur Databricks</t>
  </si>
  <si>
    <t xml:space="preserve">NA si aucun connecteur Databricks détecté.</t>
  </si>
  <si>
    <t xml:space="preserve">1. Collecter D = requêtes dont l'AST contient DatabricksMultiCloud.Contents, Databricks.Catalogs, ou Odbc.DataSource avec driver 'Simba Spark' / 'Databricks'.
2. Pour chaque d ∈ D, chercher dans les 2 premières étapes : Value.NativeQuery(source, texte, null, [EnableFolding=true]) OU un record d'options contenant la clé Query.
3. conforme(d) = 1 si trouvé, 0 sinon.
4. ρ = Σ conforme(d) / |D|.</t>
  </si>
  <si>
    <t xml:space="preserve">ρ = requêtes Databricks avec SQL natif / requêtes Databricks</t>
  </si>
  <si>
    <t xml:space="preserve">P2 (standard)</t>
  </si>
  <si>
    <t xml:space="preserve">0,95</t>
  </si>
  <si>
    <t xml:space="preserve">requete, connecteur, presence_native_query, extrait_sql (200 car.)</t>
  </si>
  <si>
    <t xml:space="preserve">Une navigation par catalogue/schéma/table sans SQL peut être volontaire pour les petites dimensions.</t>
  </si>
  <si>
    <t xml:space="preserve">Remplacer la navigation par Value.NativeQuery avec EnableFolding=true.</t>
  </si>
  <si>
    <t xml:space="preserve">O(S)</t>
  </si>
  <si>
    <t xml:space="preserve">PQ-01b</t>
  </si>
  <si>
    <t xml:space="preserve">Inclure les étapes les plus simples dans le SQL à la carte (renommage, suppression de colonnes, colonnes ajoutées, jointure avec une autre table Databricks)</t>
  </si>
  <si>
    <t xml:space="preserve">Étapes M postérieures à la requête native</t>
  </si>
  <si>
    <t xml:space="preserve">NA si aucune requête Databricks avec SQL natif (dépend de PQ-01a).</t>
  </si>
  <si>
    <t xml:space="preserve">1. Pour chaque requête Databricks, se placer après l'étape Value.NativeQuery.
2. Compter les étapes SIMPLES = {Table.RenameColumns, Table.RemoveColumns, Table.SelectColumns, Table.AddColumn(expression sans fonction M complexe : opérateurs arithmétiques, concaténation, if/then/else à 1 niveau), Table.NestedJoin dont la table jointe provient du même hostname Databricks}.
3. n_simple = |étapes SIMPLES| ; n_total = |étapes après native query|.
4. ρ = 1 − n_simple / max(n_total, 1).</t>
  </si>
  <si>
    <t xml:space="preserve">ρ = 1 − étapes simples restées en PQ / étapes après le SQL natif</t>
  </si>
  <si>
    <t xml:space="preserve">0,85</t>
  </si>
  <si>
    <t xml:space="preserve">requete, nom_etape, type_transformation, suggestion_SQL</t>
  </si>
  <si>
    <t xml:space="preserve">Une jointure vers une source non-Databricks ne peut pas être poussée : exclue du numérateur.</t>
  </si>
  <si>
    <t xml:space="preserve">Intégrer les renommages / suppressions / jointures listés dans le SELECT.</t>
  </si>
  <si>
    <t xml:space="preserve">PQ-02</t>
  </si>
  <si>
    <t xml:space="preserve">Vérifiez les types de données et la précision des décimales.</t>
  </si>
  <si>
    <t xml:space="preserve">Modèle sémantique (TMDL/model.bim) + Section1.m</t>
  </si>
  <si>
    <t xml:space="preserve">Colonnes, étapes Table.TransformColumnTypes</t>
  </si>
  <si>
    <t xml:space="preserve">Jamais NA (tout modèle a des colonnes).</t>
  </si>
  <si>
    <t xml:space="preserve">1. Indexer toutes les colonnes du modèle : (table, colonne, dataType, formatString, isHidden).
2. Détecter les colonnes NON TYPÉES : dataType = string alors que ≥ 95 % des valeurs échantillonnées sont numériques ou des dates (échantillon de 10 000 lignes si les données sont accessibles) ; sinon détecter l'absence d'étape Table.TransformColumnTypes dans la requête M correspondante → violation.
3. Détecter les types 'any' (Type.Any) laissés en M → violation systématique.
4. ρ = colonnes typées explicitement / colonnes totales.</t>
  </si>
  <si>
    <t xml:space="preserve">ρ = colonnes avec type explicite et cohérent / colonnes totales</t>
  </si>
  <si>
    <t xml:space="preserve">0,90</t>
  </si>
  <si>
    <t xml:space="preserve">table, colonne, dataType, type_M, formatString</t>
  </si>
  <si>
    <t xml:space="preserve">Sans accès aux données (modèle DirectQuery), l'inférence de type se limite à l'analyse statique du M.</t>
  </si>
  <si>
    <t xml:space="preserve">Ajouter/corriger l'étape Type modifié ; supprimer les colonnes de type Any.</t>
  </si>
  <si>
    <t xml:space="preserve">O(C) sur le nb de colonnes</t>
  </si>
  <si>
    <t xml:space="preserve">PQ-02a</t>
  </si>
  <si>
    <t xml:space="preserve">Mettre toutes les données décimales en fixed decimal, les nombres en format nombre entier et les pourcentages en pourcentage</t>
  </si>
  <si>
    <t xml:space="preserve">Colonnes numériques</t>
  </si>
  <si>
    <t xml:space="preserve">NA si le modèle ne contient aucune colonne numérique.</t>
  </si>
  <si>
    <t xml:space="preserve">Pour chaque colonne numérique c :
1. DÉCIMAL : si dataType = double → attendu 'decimal' (Currency / Fixed Decimal, M = Currency.Type). Violation si dataType = double ET formatString ne contient pas '%'.
2. ENTIER : si dataType ∈ {double, decimal} ET (toutes les valeurs échantillonnées sont entières OU le nom matche ^(nb|nombre|qte|quantite|count|annee|mois|jour|id)) → attendu int64. Violation sinon.
3. POURCENTAGE : si nom matche (?i)(taux|pct|%|pourcent|ratio|part) OU formatString contient '%' → attendu formatString ∈ {0.00%, 0.0%, 0%} ET dataType = double. Violation si format numérique brut.
4. Croiser avec le M : Table.TransformColumnTypes doit déclarer Currency.Type / Int64.Type / Percentage.Type de façon cohérente ; incohérence M↔modèle = violation.
5. ρ = colonnes numériques conformes / colonnes numériques.</t>
  </si>
  <si>
    <t xml:space="preserve">ρ = colonnes numériques au bon type + bon format / colonnes numériques</t>
  </si>
  <si>
    <t xml:space="preserve">table, colonne, dataType_actuel, dataType_attendu, formatString, regle_declenchee</t>
  </si>
  <si>
    <t xml:space="preserve">La détection 'pourcentage' par le nom génère des faux positifs (ex. 'Ratio de conversion' déjà en décimal métier). Liste de mots-clés paramétrable.</t>
  </si>
  <si>
    <t xml:space="preserve">Passer en Nombre décimal fixe / Nombre entier ; appliquer un format %.</t>
  </si>
  <si>
    <t xml:space="preserve">O(C)</t>
  </si>
  <si>
    <t xml:space="preserve">PQ-08</t>
  </si>
  <si>
    <t xml:space="preserve">Faites attention à la cardinalité des colonnes. Cherchez à réduire le nombre de valeurs uniques.</t>
  </si>
  <si>
    <t xml:space="preserve">Statistiques VertiPaq (DataModel) + modèle sémantique</t>
  </si>
  <si>
    <t xml:space="preserve">Colonnes des tables de faits</t>
  </si>
  <si>
    <t xml:space="preserve">NA si les statistiques de cardinalité sont indisponibles (Live connection sans XMLA).</t>
  </si>
  <si>
    <t xml:space="preserve">1. Récupérer pour chaque colonne : distinctCount, tailleDictionnaire, tailleTotale (VertiPaq).
2. Calculer part_colonne = tailleTotale(c) / tailleTotale(modèle).
3. Marquer comme SUSPECTE toute colonne telle que :
   (a) dataType = dateTime ET distinctCount &gt; 5 × nb_jours_couverts (⇒ composante horaire) ;
   (b) distinctCount / nbLignes &gt; 0,80 ET colonne non clé de relation ;
   (c) part_colonne &gt; 0,10 (colonne obèse) ;
   (d) dataType = double avec &gt; 6 décimales significatives.
4. ρ = 1 − colonnes suspectes / colonnes de faits, pondéré par part_colonne.</t>
  </si>
  <si>
    <t xml:space="preserve">ρ pondéré = 1 − Σ part_colonne(suspectes) / Σ part_colonne(faits)</t>
  </si>
  <si>
    <t xml:space="preserve">0,70</t>
  </si>
  <si>
    <t xml:space="preserve">table, colonne, distinctCount, taille_Mo, part_pct, motif</t>
  </si>
  <si>
    <t xml:space="preserve">Une forte cardinalité peut être fonctionnellement nécessaire (n° de facture). Sortie = recommandation, pas verdict dur.</t>
  </si>
  <si>
    <t xml:space="preserve">Scinder date/heure, arrondir les décimaux, supprimer les identifiants techniques inutiles.</t>
  </si>
  <si>
    <t xml:space="preserve">O(C) — dépend de l'extraction des stats VertiPaq</t>
  </si>
  <si>
    <t xml:space="preserve">PQ-03</t>
  </si>
  <si>
    <t xml:space="preserve">Paramétrez les valeurs répétées et les sources dans Power Query</t>
  </si>
  <si>
    <t xml:space="preserve">Littéraux, paramètres M</t>
  </si>
  <si>
    <t xml:space="preserve">NA si le modèle contient une seule requête sans littéral de connexion.</t>
  </si>
  <si>
    <t xml:space="preserve">1. Extraire l'ensemble P des paramètres : requêtes M avec métadonnée IsParameterQuery=true.
2. Parcourir l'AST et collecter tous les littéraux texte L de longueur ≥ 4 apparaissant en position d'argument de connecteur (serveur, URL, chemin, catalogue, base, nom de fichier).
3. Regrouper L par valeur normalisée (casse/espaces) → multiset ; répété(l) = occurrences ≥ 2.
4. violations = |{l ∈ L : répété(l) ∧ l ∉ valeurs de P}|.
5. ρ = 1 − violations / (violations + |P utilisés|).</t>
  </si>
  <si>
    <t xml:space="preserve">ρ = paramètres utilisés / (paramètres + littéraux répétés en dur)</t>
  </si>
  <si>
    <t xml:space="preserve">valeur_litterale, nb_occurrences, requetes_concernees, parametre_suggere</t>
  </si>
  <si>
    <t xml:space="preserve">Un littéral répété non lié à une source (ex. libellé métier) est exclu par le filtre de position d'argument.</t>
  </si>
  <si>
    <t xml:space="preserve">Créer un paramètre M et remplacer les occurrences.</t>
  </si>
  <si>
    <t xml:space="preserve">O(T) sur la taille du code M</t>
  </si>
  <si>
    <t xml:space="preserve">PQ-03a</t>
  </si>
  <si>
    <t xml:space="preserve">SharePoint : utiliser un paramètre pour chaque source Excel et chaque nom de fichier</t>
  </si>
  <si>
    <t xml:space="preserve">SharePoint.Files, SharePoint.Contents, Excel.Workbook, Web.Contents</t>
  </si>
  <si>
    <t xml:space="preserve">NA si aucune source SharePoint / Excel.</t>
  </si>
  <si>
    <t xml:space="preserve">1. S = requêtes contenant SharePoint.Files / SharePoint.Contents / Excel.Workbook(File.Contents(...)).
2. Pour chaque s ∈ S, extraire 2 arguments critiques : (i) URL du site, (ii) nom/chemin du fichier (argument de File.Contents ou prédicat Table.SelectRows sur [Name]).
3. checks(s) = 2 ; ok(s) = nb d'arguments qui sont une RÉFÉRENCE d'identifiant vers P (paramètre) et non un littéral texte.
4. ρ = Σ ok(s) / Σ checks(s).</t>
  </si>
  <si>
    <t xml:space="preserve">ρ = arguments SharePoint paramétrés / arguments SharePoint contrôlés (2 par source)</t>
  </si>
  <si>
    <t xml:space="preserve">requete, argument (site|fichier), valeur, est_parametre</t>
  </si>
  <si>
    <t xml:space="preserve">Une concaténation paramètre &amp; littéral compte comme partiellement conforme (0,5) — paramétrable.</t>
  </si>
  <si>
    <t xml:space="preserve">Créer les paramètres SiteSharePoint et NomFichier_x.</t>
  </si>
  <si>
    <t xml:space="preserve">PQ-03b</t>
  </si>
  <si>
    <t xml:space="preserve">Databricks : utiliser un paramètre pour le HTTP_Path, le Hostname et chaque catalogue utilisé (onecolasdata)</t>
  </si>
  <si>
    <t xml:space="preserve">DatabricksMultiCloud.Contents / Odbc</t>
  </si>
  <si>
    <t xml:space="preserve">NA si aucun connecteur Databricks.</t>
  </si>
  <si>
    <t xml:space="preserve">1. D = requêtes Databricks (cf. PQ-01a).
2. Pour chaque d, extraire 3 arguments : Hostname (arg 1), HTTP_Path (arg 2), Catalog (clé Catalog du record d'options ou 1er niveau de navigation).
3. ok(d) = nb d'arguments référençant un paramètre ; checks(d) = 3.
4. Contrôle additionnel : tous les d doivent référencer LE MÊME paramètre Hostname (sinon violation 'duplication de paramètre').
5. ρ = Σ ok(d) / Σ checks(d).</t>
  </si>
  <si>
    <t xml:space="preserve">ρ = arguments Databricks paramétrés / (3 × nb de sources Databricks)</t>
  </si>
  <si>
    <t xml:space="preserve">requete, hostname, http_path, catalogue, est_parametre (×3)</t>
  </si>
  <si>
    <t xml:space="preserve">Un catalogue codé en dur mais unique dans tout le fichier reste une violation (règle explicite).</t>
  </si>
  <si>
    <t xml:space="preserve">Créer les paramètres p_Hostname, p_HttpPath, p_Catalog.</t>
  </si>
  <si>
    <t xml:space="preserve">PQ-03c</t>
  </si>
  <si>
    <t xml:space="preserve">Serveur SQL : utiliser un paramètre pour le serveur et la base</t>
  </si>
  <si>
    <t xml:space="preserve">Sql.Database / Sql.Databases</t>
  </si>
  <si>
    <t xml:space="preserve">NA si aucun connecteur SQL Server.</t>
  </si>
  <si>
    <t xml:space="preserve">1. Q = requêtes contenant Sql.Database(server, database, options) ou Sql.Databases(server).
2. ok(q) = nb d'arguments parmi {server, database} qui sont une référence d'identifiant vers P.
3. checks(q) = 2 (ou 1 si Sql.Databases).
4. ρ = Σ ok / Σ checks.</t>
  </si>
  <si>
    <t xml:space="preserve">ρ = arguments SQL paramétrés / arguments SQL contrôlés</t>
  </si>
  <si>
    <t xml:space="preserve">requete, serveur, base, est_parametre</t>
  </si>
  <si>
    <t xml:space="preserve">Aucune notable.</t>
  </si>
  <si>
    <t xml:space="preserve">Créer p_Serveur et p_BaseDeDonnees.</t>
  </si>
  <si>
    <t xml:space="preserve">PQ-04</t>
  </si>
  <si>
    <t xml:space="preserve">Désactivez le chargement des sources de données intermédiaires dans Power Query.</t>
  </si>
  <si>
    <t xml:space="preserve">Bloquant</t>
  </si>
  <si>
    <t xml:space="preserve">DataMashup (Metadata) + modèle sémantique</t>
  </si>
  <si>
    <t xml:space="preserve">Requêtes M, tables du modèle</t>
  </si>
  <si>
    <t xml:space="preserve">NA si le graphe de dépendances ne comporte aucune requête intermédiaire.</t>
  </si>
  <si>
    <t xml:space="preserve">1. Construire le graphe de dépendances G des requêtes : arc q1 → q2 si l'identifiant q1 apparaît dans le corps de q2.
2. INTERMÉDIAIRE(q) = deg_sortant(q) ≥ 1 (q est consommée par au moins une autre requête) ET q n'est pas un paramètre ET q n'est pas une fonction.
3. CHARGÉE(q) = il existe une table du modèle sémantique dont une partition a pour source la requête q (recoupement par nom exact, puis par empreinte du code M).
4. violation(q) = INTERMÉDIAIRE(q) ∧ CHARGÉE(q). Exception : q est aussi consommée directement par le rapport (référencée dans le Layout) → non violation.
5. ρ = 1 − |violations| / |intermédiaires|.</t>
  </si>
  <si>
    <t xml:space="preserve">ρ = intermédiaires non chargées / intermédiaires</t>
  </si>
  <si>
    <t xml:space="preserve">P1 (strict — bloquant)</t>
  </si>
  <si>
    <t xml:space="preserve">requete, consommee_par[], table_modele_associee</t>
  </si>
  <si>
    <t xml:space="preserve">Une requête intermédiaire volontairement exposée (staging documenté) doit être déclarée en exception.</t>
  </si>
  <si>
    <t xml:space="preserve">Décocher « Activer le chargement » sur les requêtes listées.</t>
  </si>
  <si>
    <t xml:space="preserve">O(V+E) sur le graphe de requêtes</t>
  </si>
  <si>
    <t xml:space="preserve">PQ-05</t>
  </si>
  <si>
    <t xml:space="preserve">En cas d'un direct query sur Databricks, s'assurer du pointage vers un endpoint dédié (consulter Data Ingénieur)</t>
  </si>
  <si>
    <t xml:space="preserve">Modèle sémantique (partitions) + Section1.m</t>
  </si>
  <si>
    <t xml:space="preserve">Partitions mode=directQuery, HTTP_Path</t>
  </si>
  <si>
    <t xml:space="preserve">NA si aucune partition en DirectQuery vers Databricks (cas majoritaire).</t>
  </si>
  <si>
    <t xml:space="preserve">1. Filtrer les partitions dont mode ∈ {directQuery, dual} et dont l'expression source est Databricks.
2. Extraire la valeur résolue de HTTP_Path (si paramétrée, résoudre la valeur par défaut du paramètre).
3. Comparer à la liste blanche ENDPOINTS_DEDIES (référentiel administrable côté Veridash).
4. Si HTTP_Path ∈ liste blanche → OK. Si ∈ liste noire (endpoints mutualisés connus) → KO. Sinon → INDÉTERMINÉ : le statut n'est pas pré-rempli, un point de contrôle « à valider avec le Data Ingénieur » est généré avec la valeur observée.</t>
  </si>
  <si>
    <t xml:space="preserve">Booléen par partition DirectQuery ; ρ = partitions sur endpoint dédié / partitions DirectQuery</t>
  </si>
  <si>
    <t xml:space="preserve">P1 (strict) si liste blanche renseignée, sinon P5 (humain)</t>
  </si>
  <si>
    <t xml:space="preserve">0,60</t>
  </si>
  <si>
    <t xml:space="preserve">table, partition, mode, http_path_resolu, statut_liste</t>
  </si>
  <si>
    <t xml:space="preserve">Dépend entièrement de la liste blanche fournie par l'équipe Data. Sans elle, l'agent ne peut que constater.</t>
  </si>
  <si>
    <t xml:space="preserve">Basculer vers l'endpoint SQL Warehouse dédié fourni par l'équipe Data.</t>
  </si>
  <si>
    <t xml:space="preserve">O(P) sur le nb de partitions</t>
  </si>
  <si>
    <t xml:space="preserve">PQ-06</t>
  </si>
  <si>
    <t xml:space="preserve">Vérifiez s'il est possible d'appliquer un filtre dynamique (via paramètre) pour restreindre la profondeur des données</t>
  </si>
  <si>
    <t xml:space="preserve">DataMashup / Section1.m + stats de volumétrie</t>
  </si>
  <si>
    <t xml:space="preserve">Table.SelectRows, paramètres date/nombre</t>
  </si>
  <si>
    <t xml:space="preserve">NA si aucune table &gt; SEUIL_LIGNES (défaut 1 000 000) et modèle &lt; 200 Mo.</t>
  </si>
  <si>
    <t xml:space="preserve">1. Identifier les requêtes alimentant les tables volumineuses (nbLignes &gt; SEUIL_LIGNES).
2. Pour chaque requête, rechercher un Table.SelectRows dont le prédicat référence un paramètre (identifiant ∈ P) portant sur une colonne de type date/datetime/entier.
3. Vérifier aussi la présence des paramètres normalisés RangeStart / RangeEnd.
4. conforme = présence d'au moins un filtre paramétré ; ρ = tables volumineuses filtrées / tables volumineuses.
5. Si absence, l'agent calcule la profondeur observée (min/max de la colonne date) pour objectiver l'écart.</t>
  </si>
  <si>
    <t xml:space="preserve">ρ = tables volumineuses avec filtre paramétré / tables volumineuses</t>
  </si>
  <si>
    <t xml:space="preserve">0,80</t>
  </si>
  <si>
    <t xml:space="preserve">table, nb_lignes, colonne_date, min, max, filtre_detecte</t>
  </si>
  <si>
    <t xml:space="preserve">Le besoin fonctionnel peut exiger l'historique complet : à confirmer par le reviewer.</t>
  </si>
  <si>
    <t xml:space="preserve">Ajouter un paramètre de profondeur et un Table.SelectRows en début de requête.</t>
  </si>
  <si>
    <t xml:space="preserve">PQ-07</t>
  </si>
  <si>
    <t xml:space="preserve">Renommez les étapes power query qui ne sont pas simples</t>
  </si>
  <si>
    <t xml:space="preserve">Noms d'étapes M</t>
  </si>
  <si>
    <t xml:space="preserve">NA si toutes les requêtes ont ≤ 2 étapes.</t>
  </si>
  <si>
    <t xml:space="preserve">1. Charger le dictionnaire multilingue des noms auto-générés : Source, Navigation, 'Type modifié'/'Changed Type', 'Lignes filtrées'/'Filtered Rows', 'Colonnes supprimées'/'Removed Columns', 'Personnalisé1'/'Custom1', 'Autres colonnes supprimées', etc., avec suffixe numérique optionnel (regex : ^(?:&lt;libellé&gt;)(?:\s?\d+)?$).
2. COMPLEXE(étape) = (longueur de l'expression &gt; 120 caractères) OU (profondeur d'imbrication &gt; 2) OU (fonction ∉ liste des 12 transformations triviales) OU (contient un if/each/let imbriqué).
3. violation = COMPLEXE(étape) ∧ nom auto-généré.
4. ρ = 1 − violations / |étapes complexes|.</t>
  </si>
  <si>
    <t xml:space="preserve">ρ = étapes complexes renommées / étapes complexes</t>
  </si>
  <si>
    <t xml:space="preserve">requete, nom_etape, longueur_expression, profondeur, nom_suggere</t>
  </si>
  <si>
    <t xml:space="preserve">Le dictionnaire doit couvrir la langue d'installation de Power BI Desktop (FR/EN a minima).</t>
  </si>
  <si>
    <t xml:space="preserve">Renommer les étapes listées avec un libellé métier.</t>
  </si>
  <si>
    <t xml:space="preserve">MODÈLE</t>
  </si>
  <si>
    <t xml:space="preserve">MOD-01</t>
  </si>
  <si>
    <t xml:space="preserve">Modèle</t>
  </si>
  <si>
    <t xml:space="preserve">Assurez-vous que chaque rapport inclut une table de dates correctement marquée.</t>
  </si>
  <si>
    <t xml:space="preserve">Modèle sémantique (TMDL/model.bim)</t>
  </si>
  <si>
    <t xml:space="preserve">Tables, colonnes, relations</t>
  </si>
  <si>
    <t xml:space="preserve">NA si le modèle ne contient aucune colonne de type date/dateTime.</t>
  </si>
  <si>
    <t xml:space="preserve">Contrôle en 4 conditions cumulatives :
C1 — Existence : ∃ table T avec dataCategory = 'Time' ET une colonne marquée isKey/'date column'.
C2 — Type : la colonne marquée est de dataType date ou dateTime.
C3 — Continuité : min(date) … max(date) sans jour manquant et couvrant des années civiles complètes (contrôle via distinctCount = (max−min)+1 en jours ; si les données ne sont pas lisibles, contrôle dégradé sur le code M/DAX de génération : CALENDAR, CALENDARAUTO, List.Dates).
C4 — Usage : toute colonne date/dateTime des tables de faits participant à un visuel est reliée à T (relation active) ; sinon on liste les 'dates orphelines'.
Verdict : OK si C1∧C2∧C3∧C4 ; PARTIEL si C1∧C2 mais C3 ou C4 en défaut ; KO si ¬C1.</t>
  </si>
  <si>
    <t xml:space="preserve">4 conditions booléennes + ρ_C4 = colonnes date reliées / colonnes date utilisées</t>
  </si>
  <si>
    <t xml:space="preserve">table_dates, colonne_marquee, min, max, jours_manquants, dates_orphelines[]</t>
  </si>
  <si>
    <t xml:space="preserve">Un modèle multi-calendriers (fiscal + civil) déclenche des faux positifs sur C4 : liste d'exception.</t>
  </si>
  <si>
    <t xml:space="preserve">Marquer la table comme table de dates ; relier les colonnes date orphelines.</t>
  </si>
  <si>
    <t xml:space="preserve">O(C + R)</t>
  </si>
  <si>
    <t xml:space="preserve">MOD-02</t>
  </si>
  <si>
    <t xml:space="preserve">Désactiver la synthèse (summarization) automatique (∑) sur les colonnes des valeurs (désactiver les mesures implicites).</t>
  </si>
  <si>
    <t xml:space="preserve">Colonnes numériques, propriété model.discourageImplicitMeasures</t>
  </si>
  <si>
    <t xml:space="preserve">Jamais NA.</t>
  </si>
  <si>
    <t xml:space="preserve">1. N = colonnes de dataType ∈ {int64, double, decimal} hors colonnes de clé de relation et hors colonnes de la table de dates (année, mois, n° semaine — paramétrable).
2. violation(c) = summarizeBy ≠ 'none'.
3. Contrôle modèle : discourageImplicitMeasures = true → bonus, force OK si vrai ET aucune agrégation implicite dans le rapport (croisement avec DAX-01).
4. ρ = |{c ∈ N : summarizeBy = 'none'}| / |N|.</t>
  </si>
  <si>
    <t xml:space="preserve">ρ = colonnes numériques avec summarizeBy = none / colonnes numériques</t>
  </si>
  <si>
    <t xml:space="preserve">P1 (strict — bloquant, tolérance 100 %)</t>
  </si>
  <si>
    <t xml:space="preserve">1,00</t>
  </si>
  <si>
    <t xml:space="preserve">table, colonne, summarizeBy, isHidden</t>
  </si>
  <si>
    <t xml:space="preserve">Aucune — lecture directe d'une propriété du modèle.</t>
  </si>
  <si>
    <t xml:space="preserve">Passer Résumé par défaut à « Ne pas résumer » sur les colonnes listées.</t>
  </si>
  <si>
    <t xml:space="preserve">MOD-03</t>
  </si>
  <si>
    <t xml:space="preserve">Masquer les champs techniques, numériques ou ceux non utilisés dans les rapports pour ne pas surcharger la liste des champs.</t>
  </si>
  <si>
    <t xml:space="preserve">Modèle sémantique + Report Layout</t>
  </si>
  <si>
    <t xml:space="preserve">Colonnes, tables, visuels</t>
  </si>
  <si>
    <t xml:space="preserve">1. Construire l'index d'usage U : pour chaque colonne, usage_visuel (référencée dans un projection/filtre/tri d'un visuel du Layout), usage_mesure (référencée dans une expression DAX), usage_relation, usage_hierarchie, usage_sortBy, usage_RLS.
2. TECHNIQUE(c) = nom matche ^(?i)(id|code|cle|key|sk|fk|guid|hash)_?|_(id|key|sk|fk)$ OU c participe à une relation côté clé.
3. DOIT_ETRE_MASQUEE(c) = TECHNIQUE(c) ∨ (aucun usage dans U ∧ c n'est pas un attribut d'analyse évident).
4. violation(c) = DOIT_ETRE_MASQUEE(c) ∧ isHidden = false.
5. ρ = 1 − violations / |{c : DOIT_ETRE_MASQUEE}|.</t>
  </si>
  <si>
    <t xml:space="preserve">ρ = champs à masquer effectivement masqués / champs à masquer</t>
  </si>
  <si>
    <t xml:space="preserve">table, colonne, isHidden, motif (technique|non_utilisee), usages[]</t>
  </si>
  <si>
    <t xml:space="preserve">Un champ non utilisé aujourd'hui peut être destiné à l'exploration libre : exception déclarable par table.</t>
  </si>
  <si>
    <t xml:space="preserve">Masquer les colonnes listées.</t>
  </si>
  <si>
    <t xml:space="preserve">O(C + V) — un seul passage sur le Layout</t>
  </si>
  <si>
    <t xml:space="preserve">MOD-03a</t>
  </si>
  <si>
    <t xml:space="preserve">Si toutes les colonnes de la table de fait sont masquées, masquer la table directement</t>
  </si>
  <si>
    <t xml:space="preserve">Modèle sémantique</t>
  </si>
  <si>
    <t xml:space="preserve">Tables de faits</t>
  </si>
  <si>
    <t xml:space="preserve">NA si aucune table de fait identifiée.</t>
  </si>
  <si>
    <t xml:space="preserve">1. Classer les tables (cf. MOD-05c) ; retenir F = tables de faits.
2. Pour chaque f ∈ F : toutes_masquees(f) = ∀ colonne c ∈ f, isHidden(c) = true.
3. violation(f) = toutes_masquees(f) ∧ isHidden(f) = false ∧ f ne porte aucune mesure visible.
4. ρ = 1 − violations / |{f : toutes_masquees(f)}|.</t>
  </si>
  <si>
    <t xml:space="preserve">ρ = tables entièrement masquées effectivement masquées / tables entièrement masquées</t>
  </si>
  <si>
    <t xml:space="preserve">P1 (strict)</t>
  </si>
  <si>
    <t xml:space="preserve">table, nb_colonnes, nb_colonnes_masquees, isHidden_table, mesures_portees</t>
  </si>
  <si>
    <t xml:space="preserve">Si la table héberge des mesures visibles, elle doit rester visible : exclusion intégrée.</t>
  </si>
  <si>
    <t xml:space="preserve">Masquer la table.</t>
  </si>
  <si>
    <t xml:space="preserve">O(T)</t>
  </si>
  <si>
    <t xml:space="preserve">MOD-04</t>
  </si>
  <si>
    <t xml:space="preserve">Évitez les relations bidirectionnelles et les relations many-to-many. Utilisez one-to-many et le modèle en etoile.</t>
  </si>
  <si>
    <t xml:space="preserve">Modèle sémantique (relations)</t>
  </si>
  <si>
    <t xml:space="preserve">Relations</t>
  </si>
  <si>
    <t xml:space="preserve">NA si le modèle ne contient aucune relation (modèle mono-table).</t>
  </si>
  <si>
    <t xml:space="preserve">1. Charger le graphe de relations G(V=tables, E=relations) avec cardinalité et sens de filtrage.
2. Agréger MOD-04a (M2M) et MOD-04b (bidirectionnelles).
3. Contrôle étoile : détecter les chaînes dim→dim (flocon) par parcours ; profondeur &gt; 1 = flocon.
4. Détecter les cycles (ambiguïté) par recherche de cycle dans le graphe non orienté des relations actives.
5. ρ = 1 − (n_m2m + n_bidir + n_cycles + 0,5 × n_flocons) / |E|.</t>
  </si>
  <si>
    <t xml:space="preserve">ρ pondéré sur l'ensemble des relations</t>
  </si>
  <si>
    <t xml:space="preserve">table_source, table_cible, cardinalite, sens_filtrage, isActive, motif</t>
  </si>
  <si>
    <t xml:space="preserve">Le flocon est parfois légitime (hiérarchie produit normalisée) : pondération 0,5 et non 1.</t>
  </si>
  <si>
    <t xml:space="preserve">Aplatir les dimensions, remplacer le M2M par une table de pont, désactiver le filtrage croisé.</t>
  </si>
  <si>
    <t xml:space="preserve">O(V+E)</t>
  </si>
  <si>
    <t xml:space="preserve">MOD-04a</t>
  </si>
  <si>
    <t xml:space="preserve">Eviter les relations plusieurs à plusieurs</t>
  </si>
  <si>
    <t xml:space="preserve">NA si aucune relation.</t>
  </si>
  <si>
    <t xml:space="preserve">1. n_m2m = |{r ∈ E : fromCardinality = many ∧ toCardinality = many}|.
2. Détecter aussi les M2M implicites : relation 1-N dont la colonne côté 1 n'est pas unique (distinctCount &lt; nbLignes) → intégrité rompue assimilée M2M.
3. ρ = 1 − n_m2m / |E|.</t>
  </si>
  <si>
    <t xml:space="preserve">ρ = 1 − relations M2M / relations</t>
  </si>
  <si>
    <t xml:space="preserve">P1 (strict, tolérance 0)</t>
  </si>
  <si>
    <t xml:space="preserve">relation, tables, cardinalite</t>
  </si>
  <si>
    <t xml:space="preserve">Aucune (lecture directe).</t>
  </si>
  <si>
    <t xml:space="preserve">Introduire une table de pont et deux relations 1-N.</t>
  </si>
  <si>
    <t xml:space="preserve">O(E)</t>
  </si>
  <si>
    <t xml:space="preserve">MOD-04b</t>
  </si>
  <si>
    <t xml:space="preserve">Eviter les relations bidirectionnelles</t>
  </si>
  <si>
    <t xml:space="preserve">1. n_bidir = |{r ∈ E : crossFilteringBehavior = 'bothDirections'}| (relations actives uniquement).
2. Exception admise : relation 1-1 vers une table de sécurité déclarée en liste blanche.
3. ρ = 1 − n_bidir / |E|.</t>
  </si>
  <si>
    <t xml:space="preserve">ρ = 1 − relations bidirectionnelles / relations</t>
  </si>
  <si>
    <t xml:space="preserve">relation, tables, crossFilteringBehavior, isActive</t>
  </si>
  <si>
    <t xml:space="preserve">Passer en filtrage simple ; utiliser CROSSFILTER dans la mesure si nécessaire.</t>
  </si>
  <si>
    <t xml:space="preserve">MOD-05</t>
  </si>
  <si>
    <t xml:space="preserve">Nommer correctement les objets du modèles</t>
  </si>
  <si>
    <t xml:space="preserve">Tables, colonnes, mesures, hiérarchies</t>
  </si>
  <si>
    <t xml:space="preserve">Agrégation pondérée de MOD-05a, MOD-05b, MOD-05c : ρ = (ρ_a + ρ_b + 2 × ρ_c) / 4 (le préfixage, objectivable, pèse double).</t>
  </si>
  <si>
    <t xml:space="preserve">ρ agrégé des trois sous-règles</t>
  </si>
  <si>
    <t xml:space="preserve">synthèse des trois sous-règles</t>
  </si>
  <si>
    <t xml:space="preserve">Règle composite : le détail doit toujours être présenté au reviewer.</t>
  </si>
  <si>
    <t xml:space="preserve">Voir sous-règles.</t>
  </si>
  <si>
    <t xml:space="preserve">MOD-05a</t>
  </si>
  <si>
    <t xml:space="preserve">Assurez-vous que les noms soient concis, cohérents et logiques.</t>
  </si>
  <si>
    <t xml:space="preserve">Noms de tables, colonnes, mesures</t>
  </si>
  <si>
    <t xml:space="preserve">Score de nommage sur 4 critères, par famille d'objets (tables / colonnes / mesures) :
1. CONCISION : longueur ≤ LONGUEUR_MAX (défaut 40) et nb de mots ≤ 6.
2. PROPRETÉ : pas de double espace, pas d'espace en début/fin, pas de caractère technique (_, ., #, [ ]) sauf préfixe D_/F_/T_ ; pas de suffixe résiduel (Column1, Colonne1, .1, _2, Sans titre).
3. COHÉRENCE DE CASSE : déterminer le style dominant par famille (Title Case / lowercase / UPPER / PascalCase) ; conformité = part des objets suivant le style dominant.
4. COHÉRENCE LEXICALE : un même concept doit porter le même mot (détection par regroupement des tokens quasi-identiques — distance de Levenshtein normalisée ≤ 0,2 mais graphie différente, ex. 'Client'/'Clients'/'CLIENT' sur des colonnes de tables différentes).
ρ = moyenne des 4 taux de conformité.</t>
  </si>
  <si>
    <t xml:space="preserve">ρ = moyenne(concision, propreté, cohérence de casse, cohérence lexicale)</t>
  </si>
  <si>
    <t xml:space="preserve">P3 (souple) — jamais auto-rempli en KO, plafonné à PARTIEL</t>
  </si>
  <si>
    <t xml:space="preserve">objet, nom, critere_en_defaut, style_dominant, suggestion</t>
  </si>
  <si>
    <t xml:space="preserve">Notion subjective : l'agent produit un diagnostic argumenté, la décision finale reste au reviewer.</t>
  </si>
  <si>
    <t xml:space="preserve">Renommer les objets listés selon le style dominant du modèle.</t>
  </si>
  <si>
    <t xml:space="preserve">O(C log C) — regroupement lexical</t>
  </si>
  <si>
    <t xml:space="preserve">MOD-05b</t>
  </si>
  <si>
    <t xml:space="preserve">Ne pas mettre d'abréviation dans les noms de tables, colonnes et mesures</t>
  </si>
  <si>
    <t xml:space="preserve">1. Tokeniser chaque nom (séparation espace, _, casse chameau).
2. Un token est ABRÉVIATION si : (a) présent dans le dictionnaire d'abréviations métier ABBR_LIST (Nb, Qte, Mt, Lib, Cd, Ref, Dt, Cli, Frs, Prd, Tot, Nom_Ct, Dsg…) — administrable, OU (b) longueur ≤ 4, absent des lexiques FR+EN, et absent de la liste blanche des sigles autorisés (CA, EBITDA, KPI, TVA, ETP, HT, TTC…), OU (c) supprime ≥ 2 voyelles internes par rapport à un mot du lexique à distance d'édition ≤ 3 (ex. 'Qte' → 'Quantite').
3. ρ = 1 − |objets contenant ≥ 1 abréviation| / |objets|.</t>
  </si>
  <si>
    <t xml:space="preserve">ρ = 1 − objets avec abréviation / objets nommés</t>
  </si>
  <si>
    <t xml:space="preserve">objet, nom, token_abrege, mot_complet_suggere, source_detection</t>
  </si>
  <si>
    <t xml:space="preserve">Les sigles métier Colas doivent être injectés dans la liste blanche, sinon faux positifs massifs.</t>
  </si>
  <si>
    <t xml:space="preserve">Développer les abréviations listées.</t>
  </si>
  <si>
    <t xml:space="preserve">O(C × L) — L = longueur moyenne des noms</t>
  </si>
  <si>
    <t xml:space="preserve">MOD-05c</t>
  </si>
  <si>
    <t xml:space="preserve">Mettre "D_" devant les tables de dimensions, "F_" devant les tables de fait et "T_" pour les tables techniques</t>
  </si>
  <si>
    <t xml:space="preserve">Tables</t>
  </si>
  <si>
    <t xml:space="preserve">NA si le modèle contient une seule table.</t>
  </si>
  <si>
    <t xml:space="preserve">1. CLASSIFICATION STRUCTURELLE de chaque table t :
   • TECHNIQUE si : isHidden ∧ aucune relation, OU groupe de calcul, OU table de paramètre (annotation ParameterMetadata), OU table sans colonne visible ne portant que des mesures, OU nom ∈ {Mesures, Measures, Paramètres}.
   • FAIT si : t est côté « many » d'au moins une relation ET (t porte ≥ 1 colonne numérique additive OU nbLignes(t) &gt; 10 × médiane des tables) ET t n'est côté « one » d'aucune relation.
   • DIMENSION si : t est côté « one » d'au moins une relation.
   • Conflit (côté one ET many) → table de flocon : classée DIMENSION, signalée.
2. Préfixe attendu = D_ / F_ / T_ selon la classe ; comparaison insensible à la casse.
3. ρ = tables correctement préfixées / tables classées.
4. Contrôle croisé : un préfixe présent mais contredit par la structure (ex. D_Ventes qui est un fait) est signalé en priorité haute.</t>
  </si>
  <si>
    <t xml:space="preserve">ρ = tables au bon préfixe / tables classables</t>
  </si>
  <si>
    <t xml:space="preserve">table, classe_deduite, prefixe_actuel, prefixe_attendu, justification_structurelle</t>
  </si>
  <si>
    <t xml:space="preserve">Un modèle mono-table ou en flocon profond rend la classification ambiguë : sortie 'INDÉTERMINÉ' par table.</t>
  </si>
  <si>
    <t xml:space="preserve">Renommer les tables avec le préfixe correspondant à leur rôle.</t>
  </si>
  <si>
    <t xml:space="preserve">O(T + E)</t>
  </si>
  <si>
    <t xml:space="preserve">MOD-06</t>
  </si>
  <si>
    <t xml:space="preserve">Organiser les mesures</t>
  </si>
  <si>
    <t xml:space="preserve">Mesures, tables hôtes, dossiers d'affichage</t>
  </si>
  <si>
    <t xml:space="preserve">NA si le modèle ne contient aucune mesure.</t>
  </si>
  <si>
    <t xml:space="preserve">Agrégation : ρ = (ρ_MOD-06a + ρ_MOD-06b) / 2.</t>
  </si>
  <si>
    <t xml:space="preserve">ρ moyen des deux sous-règles</t>
  </si>
  <si>
    <t xml:space="preserve">synthèse des sous-règles</t>
  </si>
  <si>
    <t xml:space="preserve">—</t>
  </si>
  <si>
    <t xml:space="preserve">O(M)</t>
  </si>
  <si>
    <t xml:space="preserve">MOD-06a</t>
  </si>
  <si>
    <t xml:space="preserve">Regrouper les mesures dans des tables dédiées.</t>
  </si>
  <si>
    <t xml:space="preserve">Mesures, tables hôtes</t>
  </si>
  <si>
    <t xml:space="preserve">NA si aucune mesure.</t>
  </si>
  <si>
    <t xml:space="preserve">1. TABLE_DE_MESURES(t) = t porte ≥ 1 mesure ET (t n'a aucune colonne visible OU t n'a aucune partition de données réelle — table calculée vide / table 'Mesures').
2. violation(m) = table_hote(m) n'est pas une TABLE_DE_MESURES.
3. ρ = 1 − violations / |mesures|.
4. Contrôle secondaire : nb de tables de mesures ≤ NB_MAX_TABLES_MESURES (défaut 5) pour éviter l'éparpillement inverse.</t>
  </si>
  <si>
    <t xml:space="preserve">ρ = mesures hébergées dans une table dédiée / mesures</t>
  </si>
  <si>
    <t xml:space="preserve">mesure, table_hote, table_hote_est_dediee, nb_colonnes_visibles_hote</t>
  </si>
  <si>
    <t xml:space="preserve">Certaines organisations préfèrent la mesure dans sa table de faits : règle désactivable par profil.</t>
  </si>
  <si>
    <t xml:space="preserve">Déplacer les mesures vers une table dédiée (Home table).</t>
  </si>
  <si>
    <t xml:space="preserve">MOD-06b</t>
  </si>
  <si>
    <t xml:space="preserve">Organiser les formules DAX et les champs dans des dossiers spécifiques.</t>
  </si>
  <si>
    <t xml:space="preserve">displayFolder des mesures et colonnes</t>
  </si>
  <si>
    <t xml:space="preserve">NA si le modèle contient &lt; SEUIL_MESURES_DOSSIER (défaut 10) mesures.</t>
  </si>
  <si>
    <t xml:space="preserve">1. ρ_mesures = |mesures avec displayFolder non vide| / |mesures|.
2. ρ_colonnes = |colonnes visibles avec displayFolder| / |colonnes visibles des tables ayant &gt; 15 colonnes visibles| (les petites tables sont exclues).
3. Contrôle de structure : profondeur d'arborescence ≤ 3 ; pas de dossier contenant 1 seul élément (sur-découpage) ; pas de dossier contenant &gt; 25 éléments (sous-découpage).
4. ρ = 0,7 × ρ_mesures + 0,3 × ρ_colonnes, minoré de 0,1 par anomalie de structure.</t>
  </si>
  <si>
    <t xml:space="preserve">ρ pondéré (mesures 70 % / colonnes 30 %)</t>
  </si>
  <si>
    <t xml:space="preserve">objet, displayFolder, profondeur, nb_elements_dossier</t>
  </si>
  <si>
    <t xml:space="preserve">Renseigner le dossier d'affichage des mesures et colonnes listées.</t>
  </si>
  <si>
    <t xml:space="preserve">O(M + C)</t>
  </si>
  <si>
    <t xml:space="preserve">MOD-07</t>
  </si>
  <si>
    <t xml:space="preserve">Ajouter des descriptions aux champs qui ne sont pas évidents dans le modèle.</t>
  </si>
  <si>
    <t xml:space="preserve">description des mesures, colonnes, tables</t>
  </si>
  <si>
    <t xml:space="preserve">1. NON_ÉVIDENT(objet) si au moins un critère :
   • c'est une mesure dont le code DAX dépasse SEUIL_TOKENS (défaut 30 jetons) ;
   • c'est une colonne calculée ;
   • le nom contient une abréviation détectée par MOD-05b ;
   • le nom est ambigu (token unique et générique : Montant, Valeur, Type, Statut, Code) ;
   • la colonne est un indicateur booléen / à codes (distinctCount ≤ 10 et dataType texte/entier).
2. conforme(objet) = longueur(description) ≥ LONGUEUR_MIN_DESC (défaut 20 caractères) ET la description n'est pas une simple recopie du nom (similarité &lt; 0,9).
3. ρ = conformes / |objets non évidents|.</t>
  </si>
  <si>
    <t xml:space="preserve">ρ = objets non évidents documentés / objets non évidents</t>
  </si>
  <si>
    <t xml:space="preserve">objet, type, motif_non_evident, longueur_description, similarite_nom_description</t>
  </si>
  <si>
    <t xml:space="preserve">La détection « non évident » est heuristique ; le reviewer peut requalifier.</t>
  </si>
  <si>
    <t xml:space="preserve">Renseigner la description des objets listés.</t>
  </si>
  <si>
    <t xml:space="preserve">MOD-07a</t>
  </si>
  <si>
    <t xml:space="preserve">Pour les datasets de build, toutes les descriptions fonctionelles longues doivent être remplies</t>
  </si>
  <si>
    <t xml:space="preserve">Modèle sémantique + contexte de la revue</t>
  </si>
  <si>
    <t xml:space="preserve">description de toutes les mesures et colonnes visibles</t>
  </si>
  <si>
    <t xml:space="preserve">NA si le type de livrable déclaré dans la revue ≠ « Build ». (Précondition contextuelle, pas technique.)</t>
  </si>
  <si>
    <t xml:space="preserve">1. Lire le type de livrable depuis la revue Veridash (Power BI / App BI / Build).
2. Si ≠ Build → statut NA, aucune analyse.
3. Si Build : périmètre = toutes les mesures + toutes les colonnes visibles + toutes les tables visibles.
4. conforme = longueur(description) ≥ LONGUEUR_MIN_DESC_BUILD (défaut 60 caractères) ET contient ≥ 8 mots ET n'est pas une recopie du nom.
5. ρ = conformes / périmètre. Tolérance 0 en profil strict.</t>
  </si>
  <si>
    <t xml:space="preserve">ρ = objets visibles documentés (≥ 60 car.) / objets visibles</t>
  </si>
  <si>
    <t xml:space="preserve">P1 (strict) sur périmètre Build</t>
  </si>
  <si>
    <t xml:space="preserve">objet, longueur_description, nb_mots</t>
  </si>
  <si>
    <t xml:space="preserve">Le seuil de 60 caractères est arbitraire : à calibrer sur 2-3 datasets de build validés.</t>
  </si>
  <si>
    <t xml:space="preserve">Compléter les descriptions fonctionnelles.</t>
  </si>
  <si>
    <t xml:space="preserve">DAX</t>
  </si>
  <si>
    <t xml:space="preserve">DAX-01</t>
  </si>
  <si>
    <t xml:space="preserve">Utiliser uniquement des mesures explicites pour plus de contrôle, de réutilisabilité et de clarté.</t>
  </si>
  <si>
    <t xml:space="preserve">Report Layout (JSON) + modèle sémantique</t>
  </si>
  <si>
    <t xml:space="preserve">Projections des visuels, colonnes agrégées</t>
  </si>
  <si>
    <t xml:space="preserve">NA si le rapport ne contient aucun visuel de données (rapport vide / template).</t>
  </si>
  <si>
    <t xml:space="preserve">1. Parcourir Layout → sections → visualContainers → config.singleVisual.projections (et prototypeQuery / Query.Commands selon le format).
2. Pour chaque champ projeté, déterminer sa nature : référence de MESURE (queryRef pointant vers une mesure du modèle) vs référence de COLONNE avec agrégation (présence d'un nœud Aggregation : Sum/Avg/Min/Max/Count/CountNonNull).
3. n_implicites = nb de champs COLONNE+Agrégation ; n_total = nb de champs numériques projetés.
4. Croiser avec MOD-02 : si discourageImplicitMeasures = true, n_implicites doit être 0 par construction.
5. ρ = 1 − n_implicites / max(n_total, 1).</t>
  </si>
  <si>
    <t xml:space="preserve">ρ = 1 − agrégations implicites dans les visuels / champs numériques projetés</t>
  </si>
  <si>
    <t xml:space="preserve">page, visuel, champ, table.colonne, fonction_agregation</t>
  </si>
  <si>
    <t xml:space="preserve">Un visuel Table/Matrice affichant une colonne texte n'est pas concerné : filtre sur champs numériques.</t>
  </si>
  <si>
    <t xml:space="preserve">Créer les mesures explicites correspondantes et remplacer les champs dans les visuels.</t>
  </si>
  <si>
    <t xml:space="preserve">O(V × F) — un passage sur le Layout</t>
  </si>
  <si>
    <t xml:space="preserve">DAX-01a</t>
  </si>
  <si>
    <t xml:space="preserve">Assurez-vous que chaque mesure DAX a un objectif précis et évitez de créer des mesures excessives ou redondantes qui compliquent inutilement le modèle.</t>
  </si>
  <si>
    <t xml:space="preserve">Mesures, graphe de dépendances</t>
  </si>
  <si>
    <t xml:space="preserve">NA si &lt; 5 mesures.</t>
  </si>
  <si>
    <t xml:space="preserve">Deux détections indépendantes :
A. MESURES NON UTILISÉES — construire le graphe de dépendances D : mesure → {mesures, colonnes} référencées (parsing des références [Nom] et 'Table'[Col]). Une mesure est ORPHELINE si elle n'est référencée par aucune autre mesure NI par aucun visuel/filtre/format conditionnel du Layout NI par une règle RLS.
B. MESURES REDONDANTES — normaliser chaque expression (suppression des commentaires, des espaces superflus, mise en majuscules des fonctions, α-renommage des variables VAR en v1, v2, …), calculer h = SHA-256(expression normalisée). Doublon exact = même h. Quasi-doublon = similarité de Jaccard sur les empreintes de 5-grammes de jetons (winnowing / Rabin-Karp) ≥ 0,85.
ρ = 1 − (|orphelines| + |doublons|) / |mesures|.</t>
  </si>
  <si>
    <t xml:space="preserve">ρ = 1 − (mesures orphelines + mesures redondantes) / mesures</t>
  </si>
  <si>
    <t xml:space="preserve">mesure, statut (orpheline|doublon), mesure_jumelle, similarite, empreinte</t>
  </si>
  <si>
    <t xml:space="preserve">Une mesure peut être utilisée par un rapport EXTERNE consommant le dataset partagé : si le modèle est publié, la détection d'orphelines doit être désactivée (paramètre DATASET_PARTAGE).</t>
  </si>
  <si>
    <t xml:space="preserve">Supprimer les mesures orphelines ; fusionner les doublons.</t>
  </si>
  <si>
    <t xml:space="preserve">O(M × L) pour le hachage + O(M²) pire cas pour les quasi-doublons, ramené à O(M) par index inversé sur les empreintes (LSH)</t>
  </si>
  <si>
    <t xml:space="preserve">DAX-01b</t>
  </si>
  <si>
    <t xml:space="preserve">Mettre dans des mesures à part les parties de code qui se répètent</t>
  </si>
  <si>
    <t xml:space="preserve">Sous-expressions DAX</t>
  </si>
  <si>
    <t xml:space="preserve">1. Tokeniser chaque expression DAX (jetons : fonctions, références, opérateurs, littéraux).
2. Extraire toutes les fenêtres de jetons de taille ≥ TAILLE_MIN_FRAGMENT (défaut 8) qui forment une expression syntaxiquement close (parenthèses équilibrées).
3. Empreinte de chaque fenêtre par winnowing (fenêtre glissante de 4, on conserve le hachage minimal) → index inversé empreinte → {mesures}.
4. FRAGMENT_À_FACTORISER = fenêtre présente dans ≥ NB_MIN_OCCURRENCES (défaut 3) mesures DISTINCTES, et qui ne correspond pas déjà à une référence de mesure existante.
5. ρ = 1 − |mesures impliquées dans ≥ 1 fragment| / |mesures|.</t>
  </si>
  <si>
    <t xml:space="preserve">ρ = 1 − mesures contenant du code dupliqué / mesures</t>
  </si>
  <si>
    <t xml:space="preserve">fragment (extrait), nb_occurrences, mesures_concernees[], nom_mesure_suggere</t>
  </si>
  <si>
    <t xml:space="preserve">Les motifs DAX idiomatiques courts (CALCULATE(...,ALL(...))) génèrent du bruit : TAILLE_MIN_FRAGMENT à calibrer.</t>
  </si>
  <si>
    <t xml:space="preserve">Extraire les fragments listés dans des mesures intermédiaires réutilisables.</t>
  </si>
  <si>
    <t xml:space="preserve">O(Σ|jetons|) grâce au winnowing — linéaire</t>
  </si>
  <si>
    <t xml:space="preserve">DAX-02</t>
  </si>
  <si>
    <t xml:space="preserve">Formater le code DAX dans le modèle pour en améliorer la lisibilité, (Revenir à la ligne et indenter les lignes) (Dax formatter)</t>
  </si>
  <si>
    <t xml:space="preserve">Expressions des mesures et colonnes calculées</t>
  </si>
  <si>
    <t xml:space="preserve">NA si aucune mesure ni colonne calculée.</t>
  </si>
  <si>
    <t xml:space="preserve">Deux stratégies combinées (la seconde départage) :
A. HEURISTIQUE RAPIDE — une expression est MAL FORMATÉE si :
   • longueur &gt; SEUIL_LONGUEUR (défaut 60 car.) ET nb de sauts de ligne = 0 ;
   • une ligne dépasse LARGEUR_MAX (défaut 120 car.) ;
   • indentation incohérente (pas d'augmentation d'indentation après une parenthèse ouvrante restée ouverte en fin de ligne) ;
   • mélange tabulations / espaces ;
   • absence d'espace autour des opérateurs binaires (=, &lt;&gt;, +, −, *, /) dans &gt; 20 % des cas ;
   • mots-clés DAX non homogènes en casse (VAR/var, RETURN/return).
B. DISTANCE AU FORMATAGE CANONIQUE — appliquer le pretty-printer DAX interne (règles DAX Formatter : une fonction par ligne, arguments indentés de 4, virgules en début de ligne) et calculer d = Levenshtein(actuel, formaté) / longueur(formaté) en ignorant les espaces multiples. Conforme si d ≤ SEUIL_DISTANCE (défaut 0,15).
3. conforme(m) = ¬A ∧ B ; ρ = conformes / |expressions|.</t>
  </si>
  <si>
    <t xml:space="preserve">ρ = expressions DAX formatées / expressions DAX</t>
  </si>
  <si>
    <t xml:space="preserve">mesure, longueur, nb_lignes, distance_formatage, criteres_en_defaut[]</t>
  </si>
  <si>
    <t xml:space="preserve">Le pretty-printer interne n'est pas bit-à-bit identique à daxformatter.com : d'où le seuil de tolérance 0,15 plutôt qu'une égalité stricte.</t>
  </si>
  <si>
    <t xml:space="preserve">Passer les mesures listées dans DAX Formatter.</t>
  </si>
  <si>
    <t xml:space="preserve">O(Σ|expression|) — le pretty-printer n'est appliqué qu'aux expressions ayant échoué à l'heuristique A</t>
  </si>
  <si>
    <t xml:space="preserve">DAX-03</t>
  </si>
  <si>
    <t xml:space="preserve">Utiliser des variables DAX pour améliorer la lisibilité du code.</t>
  </si>
  <si>
    <t xml:space="preserve">Expressions DAX complexes</t>
  </si>
  <si>
    <t xml:space="preserve">NA si aucune mesure ne franchit le seuil de complexité.</t>
  </si>
  <si>
    <t xml:space="preserve">1. Calculer pour chaque expression un score de complexité :
   K = nb_jetons + 5 × profondeur_imbrication_max + 10 × nb_CALCULATE + 10 × nb_itérateurs (SUMX, AVERAGEX, FILTER, ADDCOLUMNS…).
2. COMPLEXE(m) = K ≥ SEUIL_COMPLEXITE (défaut 60).
3. conforme(m) = l'expression contient au moins un bloc VAR … RETURN.
   Contrôle de qualité additionnel : chaque VAR déclarée doit être utilisée (VAR morte = violation) ; une sous-expression identique répétée ≥ 2 fois dans la même mesure sans VAR = violation.
4. ρ = |{m complexes conformes}| / |{m complexes}|.</t>
  </si>
  <si>
    <t xml:space="preserve">ρ = mesures complexes utilisant VAR / mesures complexes</t>
  </si>
  <si>
    <t xml:space="preserve">mesure, score_complexite_K, presence_VAR, var_mortes[], sous_expressions_repetees[]</t>
  </si>
  <si>
    <t xml:space="preserve">Le seuil K est à calibrer ; une mesure longue mais linéaire (SWITCH à 20 branches) n'exige pas de VAR.</t>
  </si>
  <si>
    <t xml:space="preserve">Introduire des variables VAR … RETURN dans les mesures listées.</t>
  </si>
  <si>
    <t xml:space="preserve">O(Σ|jetons|)</t>
  </si>
  <si>
    <t xml:space="preserve">DAX-04</t>
  </si>
  <si>
    <t xml:space="preserve">Ajouter des commentaires utiles aux codes complexes (DAX, M).</t>
  </si>
  <si>
    <t xml:space="preserve">Modèle sémantique + Section1.m</t>
  </si>
  <si>
    <t xml:space="preserve">Expressions DAX et étapes M complexes</t>
  </si>
  <si>
    <t xml:space="preserve">NA si aucun code complexe (ni DAX ni M).</t>
  </si>
  <si>
    <t xml:space="preserve">1. Périmètre = expressions DAX avec K ≥ SEUIL_COMPLEXITE (cf. DAX-03) ∪ requêtes M dont le nb d'étapes ≥ SEUIL_ETAPES (défaut 12) ou contenant une fonction personnalisée.
2. Extraire les commentaires : DAX → // et /* */ ; M → // et /* */.
3. UTILE(commentaire) = longueur ≥ 15 caractères ET ≥ 4 mots ET ratio de mots du lexique naturel &gt; 0,5 (sinon c'est du code commenté, cf. DAX-06) ET ce n'est pas une simple recopie du nom de l'objet.
4. conforme(objet) = ≥ 1 commentaire UTILE, et couverture ≥ 1 commentaire par tranche de 40 lignes.
5. ρ = conformes / périmètre.</t>
  </si>
  <si>
    <t xml:space="preserve">ρ = objets complexes commentés utilement / objets complexes</t>
  </si>
  <si>
    <t xml:space="preserve">objet, langage (DAX|M), K ou nb_etapes, nb_commentaires, nb_commentaires_utiles</t>
  </si>
  <si>
    <t xml:space="preserve">La qualité sémantique d'un commentaire n'est pas évaluable statiquement — seule sa présence et sa vraisemblance le sont. Option : évaluation LLM en second passage (cf. §IA du document d'algorithmie).</t>
  </si>
  <si>
    <t xml:space="preserve">Commenter les blocs complexes listés.</t>
  </si>
  <si>
    <t xml:space="preserve">O(Σ|code|)</t>
  </si>
  <si>
    <t xml:space="preserve">DAX-05</t>
  </si>
  <si>
    <t xml:space="preserve">Envisager d'utiliser des groupes de calcul (calculation groups) pour réduire le nombre de mesures</t>
  </si>
  <si>
    <t xml:space="preserve">Optionnel</t>
  </si>
  <si>
    <t xml:space="preserve">Groupes de calcul, familles de mesures</t>
  </si>
  <si>
    <t xml:space="preserve">NA si &lt; SEUIL_MESURES_CG (défaut 15) mesures dans le modèle.</t>
  </si>
  <si>
    <t xml:space="preserve">1. Détecter l'existence de groupes de calcul : table avec calculationGroup / calculationItems non vide.
2. Détecter les FAMILLES DE VARIANTES : regrouper les mesures par racine de nom après suppression des suffixes/préfixes du dictionnaire TIME_INTEL = {YTD, MTD, QTD, LY, PY, N-1, N-2, YoY, Var, Var %, Cumul, Glissant, R12, Rolling}. Une famille = même racine, ≥ NB_MIN_VARIANTES (défaut 3) variantes distinctes.
3. potentiel = Σ (|famille| − 1) sur toutes les familles = nb de mesures économisables.
4. Verdict : OK si groupes de calcul présents OU potentiel &lt; NB_MIN_ECONOMIE (défaut 8). PARTIEL si potentiel ∈ [8, 20[. KO si potentiel ≥ 20 et aucun groupe de calcul.</t>
  </si>
  <si>
    <t xml:space="preserve">potentiel = nb de mesures supprimables par mise en place de groupes de calcul</t>
  </si>
  <si>
    <t xml:space="preserve">P4 (par seuils absolus)</t>
  </si>
  <si>
    <t xml:space="preserve">familles[] {racine, variantes[], taille}, potentiel, groupes_calcul_existants[]</t>
  </si>
  <si>
    <t xml:space="preserve">Les groupes de calcul sont incompatibles avec certains usages (mesures implicites, Excel Analyser dans) : la règle est classée Optionnel et ne bloque jamais.</t>
  </si>
  <si>
    <t xml:space="preserve">Créer un groupe de calcul Time Intelligence couvrant les familles listées.</t>
  </si>
  <si>
    <t xml:space="preserve">O(M log M) — regroupement par racine</t>
  </si>
  <si>
    <t xml:space="preserve">DAX-06</t>
  </si>
  <si>
    <t xml:space="preserve">Supprimer les parties de codes inutiles mis en commentaire</t>
  </si>
  <si>
    <t xml:space="preserve">Commentaires DAX et M</t>
  </si>
  <si>
    <t xml:space="preserve">NA si aucun commentaire dans tout le code.</t>
  </si>
  <si>
    <t xml:space="preserve">1. Extraire tous les blocs de commentaires (DAX et M).
2. CODE_COMMENTÉ(bloc) = score ≥ 2 sur les indices suivants :
   +1 si le bloc contient une fonction DAX/M connue suivie de '(' ;
   +1 si le bloc contient une référence 'Table'[Colonne] ou [Mesure] ;
   +1 si le ratio de caractères de ponctuation de code (=,(),[],") &gt; 0,12 ;
   +1 si le bloc est syntaxiquement parsable comme une expression DAX/M ;
   −2 si le ratio de mots du lexique naturel (FR/EN) &gt; 0,6.
3. violations = |blocs CODE_COMMENTÉ|.
4. ρ = 1 − violations / |blocs de commentaires| ; verdict KO dès violations ≥ 1 en profil strict.</t>
  </si>
  <si>
    <t xml:space="preserve">nb de blocs de code mort en commentaire (cible : 0)</t>
  </si>
  <si>
    <t xml:space="preserve">objet, extrait_commentaire (150 car.), score_indices, lignes</t>
  </si>
  <si>
    <t xml:space="preserve">Un exemple d'usage volontairement commenté dans une mesure de documentation est un faux positif (rare). Le reviewer peut requalifier.</t>
  </si>
  <si>
    <t xml:space="preserve">Supprimer les blocs de code commenté listés.</t>
  </si>
  <si>
    <t xml:space="preserve">GÉNÉRAL</t>
  </si>
  <si>
    <t xml:space="preserve">GEN-01</t>
  </si>
  <si>
    <t xml:space="preserve">Général</t>
  </si>
  <si>
    <t xml:space="preserve">Éliminez les champs et données inutiles.</t>
  </si>
  <si>
    <t xml:space="preserve">Modèle sémantique + Report Layout + Section1.m</t>
  </si>
  <si>
    <t xml:space="preserve">Colonnes, tables, mesures, requêtes</t>
  </si>
  <si>
    <t xml:space="preserve">1. Réutiliser l'index d'usage U construit pour MOD-03 (visuels, mesures, relations, hiérarchies, sortByColumn, RLS, paramètres de champ, format conditionnel, info-bulles, signets).
2. INUTILE(colonne) = aucun usage dans U.
   INUTILE(table) = toutes ses colonnes inutiles ET aucune mesure hébergée ET aucune relation.
   INUTILE(requête M) = non chargée ET non référencée par une autre requête.
3. Pondération par le poids VertiPaq : poids(c) = tailleTotale(c) / tailleTotale(modèle) (si stats disponibles), sinon poids uniforme.
4. ρ = 1 − Σ poids(objets inutiles) / Σ poids(objets).
5. L'agent produit le gain estimé en Mo.</t>
  </si>
  <si>
    <t xml:space="preserve">ρ pondéré par la taille + gain estimé (Mo)</t>
  </si>
  <si>
    <t xml:space="preserve">objet, type, usages_trouves (0), taille_Mo, gain_estime</t>
  </si>
  <si>
    <t xml:space="preserve">Identique à DAX-01a : un dataset partagé peut être consommé par des rapports externes. Paramètre DATASET_PARTAGE = true → la règle passe en pré-diagnostic sans verdict.</t>
  </si>
  <si>
    <t xml:space="preserve">Supprimer les colonnes/tables/requêtes listées.</t>
  </si>
  <si>
    <t xml:space="preserve">O(C + V + E) — index d'usage mutualisé avec MOD-03 et DAX-01a</t>
  </si>
  <si>
    <t xml:space="preserve">GEN-02</t>
  </si>
  <si>
    <t xml:space="preserve">Désactivez l'option Auto Date/Time : Fichier &gt; Options et paramètres &gt; Options &gt; Chargement des données - Time Intelligence (Date/heure automatique pour les nouveaux fichiers).</t>
  </si>
  <si>
    <t xml:space="preserve">Modèle sémantique (annotations + tables)</t>
  </si>
  <si>
    <t xml:space="preserve">Annotation __PBI_TimeIntelligenceEnabled, tables LocalDateTable_*</t>
  </si>
  <si>
    <t xml:space="preserve">Contrôle doublement redondant (les deux doivent être vrais) :
C1 — l'annotation modèle __PBI_TimeIntelligenceEnabled vaut 0 (ou est absente).
C2 — aucune table du modèle ne matche ^(LocalDateTable_|DateTableTemplate_)[0-9a-f-]{36}$ et aucune hiérarchie automatique 'Variations'/'Date Hierarchy' générée.
Verdict : OK si C1 ∧ C2 ; KO sinon. L'agent compte les tables auto générées et estime le poids récupérable (chaque table auto pèse typiquement 1 à 5 Mo).</t>
  </si>
  <si>
    <t xml:space="preserve">Booléen ; nb de tables de date automatiques (cible 0)</t>
  </si>
  <si>
    <t xml:space="preserve">annotation, valeur, tables_auto[], colonnes_declencheuses[], poids_estime_Mo</t>
  </si>
  <si>
    <t xml:space="preserve">Aucune — détection totalement déterministe.</t>
  </si>
  <si>
    <t xml:space="preserve">Décocher Date/heure automatique puis republier ; supprimer les hiérarchies de dates automatiques.</t>
  </si>
  <si>
    <t xml:space="preserve">GEN-03</t>
  </si>
  <si>
    <t xml:space="preserve">Limitez les logiques métier complexes dans la couche de rapport afin de maintenir la simplicité, la facilité de maintenance et les performances du modèle.</t>
  </si>
  <si>
    <t xml:space="preserve">Report Layout + modèle sémantique</t>
  </si>
  <si>
    <t xml:space="preserve">Mesures de rapport, filtres de visuel, format conditionnel, calculs visuels</t>
  </si>
  <si>
    <t xml:space="preserve">NA si le rapport est en connexion live vers un dataset partagé et ne contient aucune mesure de rapport.</t>
  </si>
  <si>
    <t xml:space="preserve">Score de fuite de logique métier L = somme pondérée :
  • 3 × nb de mesures définies au niveau du rapport (report-level measures) ;
  • 3 × nb de calculs visuels (visual calculations) ;
  • 2 × nb de règles de format conditionnel avec expression FieldValue/DAX ;
  • 1 × nb de filtres de visuel de type Advanced avec ≥ 2 conditions ;
  • 2 × nb de champs 'Custom' / paramètres de champ créés dans le rapport ;
  • 1 × nb de visuels contenant une expression de tri personnalisée.
Normalisation : L_n = L / max(nb_visuels, 1).
Verdict : OK si L_n ≤ 0,5 ; PARTIEL si 0,5 &lt; L_n ≤ 1,5 ; KO si L_n &gt; 1,5.</t>
  </si>
  <si>
    <t xml:space="preserve">L_n = score de logique métier au niveau rapport / nb de visuels</t>
  </si>
  <si>
    <t xml:space="preserve">0,65</t>
  </si>
  <si>
    <t xml:space="preserve">page, visuel, type_de_logique, extrait, poids</t>
  </si>
  <si>
    <t xml:space="preserve">Le format conditionnel est un usage légitime : pondération faible. Règle plafonnée à PARTIEL en auto-remplissage, jamais KO sans confirmation humaine.</t>
  </si>
  <si>
    <t xml:space="preserve">Remonter les mesures de rapport dans le modèle sémantique.</t>
  </si>
  <si>
    <t xml:space="preserve">O(V)</t>
  </si>
  <si>
    <t xml:space="preserve">GEN-04</t>
  </si>
  <si>
    <t xml:space="preserve">Choisissez le bon niveau d'agrégation pour répondre aux besoins actuels et futurs des rapports, en évitant la granularité maximale.</t>
  </si>
  <si>
    <t xml:space="preserve">C</t>
  </si>
  <si>
    <t xml:space="preserve">Statistiques VertiPaq + Report Layout</t>
  </si>
  <si>
    <t xml:space="preserve">Tables de faits, granularité observée vs granularité utilisée</t>
  </si>
  <si>
    <t xml:space="preserve">NA si les statistiques de cardinalité sont indisponibles.</t>
  </si>
  <si>
    <t xml:space="preserve">PRÉ-DIAGNOSTIC (pas de verdict automatique) :
1. Pour chaque table de fait f : identifier les colonnes de grain (clés de relation + colonne date).
2. Calculer la granularité STOCKÉE = nbLignes(f).
3. Calculer la granularité UTILISÉE = produit des cardinalités des seuls niveaux effectivement projetés dans les visuels (issus de l'index d'usage U), en prenant pour chaque dimension le niveau le plus fin réellement affiché.
4. ratio_surqualite = granularité STOCKÉE / granularité UTILISÉE.
5. Si ratio &gt; 10 → l'agent signale un potentiel d'agrégation avec gain estimé, mais laisse le statut NON RENSEIGNÉ : la décision dépend des besoins futurs, non observables.
6. Contrôle secondaire objectivable : présence d'une colonne dateTime avec composante horaire alors qu'aucun visuel n'affiche l'heure → violation objectivable, celle-ci peut être pré-remplie.</t>
  </si>
  <si>
    <t xml:space="preserve">ratio_surqualite par table de fait (indicatif) + violation horaire (objectivable)</t>
  </si>
  <si>
    <t xml:space="preserve">P5 (humain) — pré-diagnostic uniquement</t>
  </si>
  <si>
    <t xml:space="preserve">0,40</t>
  </si>
  <si>
    <t xml:space="preserve">table, nb_lignes, grain_stocke[], grain_utilise[], ratio, gain_estime_Mo</t>
  </si>
  <si>
    <t xml:space="preserve">« Besoins futurs » n'est pas observable. Toute automatisation d'un verdict ici serait arbitraire : l'agent documente, le reviewer tranche.</t>
  </si>
  <si>
    <t xml:space="preserve">Envisager une table d'agrégation ou une montée en grain à la source.</t>
  </si>
  <si>
    <t xml:space="preserve">O(T + V)</t>
  </si>
  <si>
    <t xml:space="preserve">GEN-05</t>
  </si>
  <si>
    <t xml:space="preserve">Vérifier l'intégrité référentielle des relations.</t>
  </si>
  <si>
    <t xml:space="preserve">Modèle sémantique + données (VertiPaq)</t>
  </si>
  <si>
    <t xml:space="preserve">Relations, colonnes de clé</t>
  </si>
  <si>
    <t xml:space="preserve">NA si aucune relation, ou si les données ne sont pas lisibles (DirectQuery pur) → INDÉTERMINÉ.</t>
  </si>
  <si>
    <t xml:space="preserve">Pour chaque relation r (côté 1 = dimension D.k, côté N = fait F.fk) :
C1 — UNICITÉ : distinctCount(D.k) = nbLignes(D) (sinon la relation 1-N est invalide).
C2 — INCLUSION : |valeurs distinctes de F.fk \ valeurs distinctes de D.k| = 0. Implémentation : construire un filtre de Bloom (ou un hachage de l'ensemble) sur D.k, puis un seul balayage de F.fk → O(n+m) au lieu d'une jointure.
C3 — NULLS : nb de valeurs vides/nulles dans F.fk (ligne blanche générée).
C4 — TYPES : dataType(D.k) = dataType(F.fk).
C5 — DRAPEAU : relyOnReferentialIntegrity = true doit être posé UNIQUEMENT si C1∧C2∧C3 sont satisfaits (sinon incohérence dangereuse en DirectQuery).
ρ = relations satisfaisant C1..C5 / |relations|.
Si les données ne sont pas accessibles, seuls C1 (via stats), C4 et C5 sont évalués → confiance 0,6 et statut plafonné à PARTIEL.</t>
  </si>
  <si>
    <t xml:space="preserve">ρ = relations à intégrité vérifiée / relations</t>
  </si>
  <si>
    <t xml:space="preserve">0,90 (données lisibles) / 0,60 (sinon)</t>
  </si>
  <si>
    <t xml:space="preserve">relation, unicite_ok, nb_cles_orphelines, exemples_cles_orphelines[5], nb_nulls, types</t>
  </si>
  <si>
    <t xml:space="preserve">Coût mémoire du filtre de Bloom sur les très grosses dimensions : paramétrer un taux de faux positifs à 1e-6 puis vérifier exactement les candidats remontés.</t>
  </si>
  <si>
    <t xml:space="preserve">Corriger les clés orphelines à la source ; ajouter une ligne 'Inconnu' dans la dimension.</t>
  </si>
  <si>
    <t xml:space="preserve">O(n+m) par relation avec filtre de Bloom</t>
  </si>
  <si>
    <t xml:space="preserve">MISE EN PAGE &amp; DESIGN</t>
  </si>
  <si>
    <t xml:space="preserve">DSG-01</t>
  </si>
  <si>
    <t xml:space="preserve">Mise en page &amp; Design</t>
  </si>
  <si>
    <t xml:space="preserve">Bien respecter le template CDS si utilisé</t>
  </si>
  <si>
    <t xml:space="preserve">Report Layout + thème (StaticResources) + fichier de référence CDS</t>
  </si>
  <si>
    <t xml:space="preserve">Thème, palette, polices, dimensions de page, éléments de gabarit</t>
  </si>
  <si>
    <t xml:space="preserve">NA si l'utilisateur déclare que le template CDS n'est pas utilisé (question posée au lancement de l'agent).</t>
  </si>
  <si>
    <t xml:space="preserve">1. Charger le THÈME DE RÉFÉRENCE CDS (JSON déposé une fois pour toutes dans Veridash).
2. Extraire du rapport : nom du thème, dataColors[], background, foreground, tableAccent, fontFamily par classe de texte, taille de page (width/height), displayOption.
3. Comparer attribut par attribut :
   • palette : similarité = |couleurs communes| / |couleurs de référence| (comparaison en espace colorimétrique CIELAB, ΔE ≤ 2 = identique) ;
   • polices : égalité stricte des familles ;
   • dimensions : égalité stricte (ex. 1280×720) ;
   • éléments de gabarit : présence des formes/images nommées dans la référence (bandeau, logo, pied de page) sur chaque page — comparaison par nom et par position (tolérance ± 5 px).
4. ρ = attributs conformes / attributs contrôlés (pondération : palette 30 %, polices 20 %, dimensions 20 %, éléments 30 %).</t>
  </si>
  <si>
    <t xml:space="preserve">ρ pondéré de conformité au gabarit CDS</t>
  </si>
  <si>
    <t xml:space="preserve">0,85 (si thème de référence fourni) / 0,00 sinon → NA</t>
  </si>
  <si>
    <t xml:space="preserve">attribut, valeur_rapport, valeur_reference, ecart (ΔE ou px)</t>
  </si>
  <si>
    <t xml:space="preserve">Sans le fichier de thème CDS de référence chargé dans Veridash, la règle est inévaluable.</t>
  </si>
  <si>
    <t xml:space="preserve">Appliquer le thème CDS et repositionner les éléments de gabarit.</t>
  </si>
  <si>
    <t xml:space="preserve">O(P × E) — P pages, E éléments de gabarit</t>
  </si>
  <si>
    <t xml:space="preserve">DSG-02</t>
  </si>
  <si>
    <t xml:space="preserve">Visualiser et tester le rapport sur différents écrans, navigateurs et contextes.</t>
  </si>
  <si>
    <t xml:space="preserve">Report Layout</t>
  </si>
  <si>
    <t xml:space="preserve">Mise en page mobile, débordements, options d'affichage</t>
  </si>
  <si>
    <t xml:space="preserve">Jamais NA — mais le verdict final reste humain.</t>
  </si>
  <si>
    <t xml:space="preserve">PRÉ-DIAGNOSTIC objectivable (l'acte de test lui-même n'est pas observable) :
I1 — MISE EN PAGE MOBILE : existe-t-il une disposition mobile définie pour chaque page (layouts avec id = 1 / section mobileState non vide) ? taux = pages avec mobile / pages.
I2 — DÉBORDEMENT : pour chaque visuel, x + width ≤ largeur_page et y + height ≤ hauteur_page ; compter les visuels hors canevas.
I3 — CHEVAUCHEMENT : détecter les paires de visuels dont les rectangles se recouvrent de &gt; 10 % (algorithme de balayage / sweep line en O(V log V)) — hors visuels appartenant à des signets exclusifs.
I4 — OPTION D'AFFICHAGE : displayOption = FitToPage recommandé (vs ActualSize).
I5 — TAILLE MINIMALE : visuels de moins de 80×60 px (illisibles sur petit écran).
L'agent renseigne un pré-diagnostic ; si I2 ou I3 remontent des anomalies, le statut proposé est KO (objectivable). Sinon le statut reste NON RENSEIGNÉ avec la mention « test manuel requis ».</t>
  </si>
  <si>
    <t xml:space="preserve">I1..I5 ; verdict auto uniquement si débordement ou chevauchement détecté</t>
  </si>
  <si>
    <t xml:space="preserve">P5 (humain) sauf anomalie objectivable → P1</t>
  </si>
  <si>
    <t xml:space="preserve">0,50</t>
  </si>
  <si>
    <t xml:space="preserve">page, visuel, x, y, w, h, anomalie, mobile_defini</t>
  </si>
  <si>
    <t xml:space="preserve">Le test navigateur/contexte utilisateur est par nature manuel.</t>
  </si>
  <si>
    <t xml:space="preserve">Définir les dispositions mobiles ; corriger les débordements et chevauchements.</t>
  </si>
  <si>
    <t xml:space="preserve">O(V log V) pour le balayage géométrique</t>
  </si>
  <si>
    <t xml:space="preserve">DSG-03</t>
  </si>
  <si>
    <t xml:space="preserve">Organiser et regrouper les visuels et les signets dans le volet Sélection pour une meilleure structure.</t>
  </si>
  <si>
    <t xml:space="preserve">Groupes de visuels, noms de visuels, signets</t>
  </si>
  <si>
    <t xml:space="preserve">NA si le rapport a &lt; 5 visuels et 0 signet.</t>
  </si>
  <si>
    <t xml:space="preserve">1. GROUPEMENT : taux_groupes = visuels appartenant à un groupe (parentGroupName renseigné) / visuels, calculé uniquement sur les pages ayant &gt; SEUIL_VISUELS (défaut 8) visuels.
2. NOMMAGE : un visuel est mal nommé si son titre/nom d'affichage matche le motif par défaut ^(?i)(visual|visuel|graphique|group|groupe)\s?\d*$ ou est vide. taux_nommage = 1 − mal_nommés / visuels.
3. SIGNETS : un signet est mal nommé si ^(?i)(signet|bookmark)\s?\d+$. Les signets doivent être rangés dans des groupes (bookmark groups) dès qu'il y en a &gt; 5. taux_signets.
4. ρ = 0,4 × taux_groupes + 0,3 × taux_nommage + 0,3 × taux_signets (les composantes non applicables sont retirées et les poids renormalisés).</t>
  </si>
  <si>
    <t xml:space="preserve">ρ pondéré (groupement / nommage / signets)</t>
  </si>
  <si>
    <t xml:space="preserve">page, visuel_ou_signet, nom, groupe, anomalie</t>
  </si>
  <si>
    <t xml:space="preserve">Un rapport simple (3 visuels/page) n'a pas besoin de groupes : seuil d'activation par page.</t>
  </si>
  <si>
    <t xml:space="preserve">Grouper et renommer les éléments dans le volet Sélection.</t>
  </si>
  <si>
    <t xml:space="preserve">O(V + B)</t>
  </si>
  <si>
    <t xml:space="preserve">DSG-04</t>
  </si>
  <si>
    <t xml:space="preserve">Eliminer les interactions inutiles entre les visuels pour améliorer la clarté.</t>
  </si>
  <si>
    <t xml:space="preserve">Report Layout (section.config.relationships)</t>
  </si>
  <si>
    <t xml:space="preserve">Matrice d'interactions entre visuels</t>
  </si>
  <si>
    <t xml:space="preserve">NA si toutes les pages ont ≤ 2 visuels.</t>
  </si>
  <si>
    <t xml:space="preserve">1. Pour chaque page, construire la matrice d'interactions I[s][c] ∈ {none, filter, highlight} (valeur par défaut = filter/highlight si non explicitée dans relationships).
2. Calculer la LIGNÉE de chaque visuel : ensemble des tables du modèle atteintes par ses champs, étendu par le graphe de relations (fermeture transitive limitée aux relations actives et au sens de filtrage effectif).
3. INTERACTION_INUTILE(s,c) = I[s][c] ≠ none ET lignée(s) ∩ lignée_filtrable(c) = ∅ (le visuel source ne peut structurellement pas filtrer la cible) — détection objectivable.
4. INTERACTION_SUSPECTE(s,c) = I[s][c] ≠ none ET c est un visuel de type carte/KPI de contexte global (heuristique paramétrable).
5. ρ = 1 − (inutiles + 0,5 × suspectes) / |paires actives|.
6. Contrôle inverse : si AUCUNE interaction n'a été personnalisée sur une page de &gt; 8 visuels, signaler « interactions jamais revues » (indice de non-conformité, pas preuve).</t>
  </si>
  <si>
    <t xml:space="preserve">ρ = 1 − interactions inutiles pondérées / paires d'interactions actives</t>
  </si>
  <si>
    <t xml:space="preserve">page, visuel_source, visuel_cible, type_interaction, lignee_source[], lignee_cible[]</t>
  </si>
  <si>
    <t xml:space="preserve">Une interaction 'inutile' au sens lignée peut être voulue via un signet ou une mesure transverse : la détection par lignée est conservatrice (ne remonte que les cas structurellement impossibles).</t>
  </si>
  <si>
    <t xml:space="preserve">Désactiver les interactions listées via Format &gt; Modifier les interactions.</t>
  </si>
  <si>
    <t xml:space="preserve">O(P × V²) borné en pratique (V ≤ 30 par page) + O(E) pour la fermeture transitive, mise en cache</t>
  </si>
  <si>
    <t xml:space="preserve">DSG-05</t>
  </si>
  <si>
    <t xml:space="preserve">Configurer et tester toutes les interactions et filtres (cross-filtrage, slicers, etc)</t>
  </si>
  <si>
    <t xml:space="preserve">Slicers, filtres de page/rapport/visuel, matrice d'interactions</t>
  </si>
  <si>
    <t xml:space="preserve">NA si aucun filtre ni slicer.</t>
  </si>
  <si>
    <t xml:space="preserve">Contrôles objectivables (les seuls automatisables) :
C1 — FILTRES ORPHELINS : tout champ référencé par un filtre ou un slicer doit exister dans le modèle (comparaison des queryRef avec l'index des objets). Un filtre pointant vers un champ supprimé = KO dur.
C2 — FILTRES VIDES : filtres de type Advanced/Basic sans condition renseignée.
C3 — SLICERS SANS CIBLE : slicer dont le champ appartient à une table sans aucun chemin de filtrage vers les tables des visuels de la page (calcul de lignée, cf. DSG-04) → le slicer ne filtre rien.
C4 — INTERACTIONS PERSONNALISÉES : au moins une entrée explicite dans relationships sur les pages de &gt; 5 visuels (indice que les interactions ont été revues).
C5 — FILTRES DE RAPPORT masqués/verrouillés cohérents.
ρ = contrôles passés / contrôles applicables. C1 et C3 déclenchent un KO même isolément.</t>
  </si>
  <si>
    <t xml:space="preserve">ρ sur C1..C5, avec C1/C3 bloquants</t>
  </si>
  <si>
    <t xml:space="preserve">P2 (standard) avec KO dur sur C1/C3</t>
  </si>
  <si>
    <t xml:space="preserve">page, element, type, champ_reference, existe_dans_modele, chemin_de_filtrage</t>
  </si>
  <si>
    <t xml:space="preserve">Le « test » réel (cliquer et vérifier le comportement) reste humain ; l'agent garantit seulement l'absence d'incohérence structurelle.</t>
  </si>
  <si>
    <t xml:space="preserve">Corriger les filtres orphelins ; supprimer les slicers sans effet.</t>
  </si>
  <si>
    <t xml:space="preserve">O(V + F)</t>
  </si>
  <si>
    <t xml:space="preserve">DSG-06</t>
  </si>
  <si>
    <t xml:space="preserve">Synchroniser les slicers là où c'est nécessaire</t>
  </si>
  <si>
    <t xml:space="preserve">Report Layout (syncGroups)</t>
  </si>
  <si>
    <t xml:space="preserve">Slicers, groupes de synchronisation</t>
  </si>
  <si>
    <t xml:space="preserve">NA si le rapport a une seule page ou aucun slicer.</t>
  </si>
  <si>
    <t xml:space="preserve">1. Indexer les slicers par (champ du modèle) → {pages}.
2. CANDIDAT_SYNC(champ) = le champ est utilisé comme slicer sur ≥ 2 pages.
3. Lire les groupes de synchronisation (config du slicer : syncGroup.groupName, fieldChanges, filterChanges).
4. violation(champ) = CANDIDAT_SYNC(champ) ET les slicers correspondants n'appartiennent pas tous au même groupe de synchronisation avec filterChanges = true.
5. ρ = 1 − violations / |candidats|.
6. Contrôle inverse : slicer synchronisé mais dont le champ n'existe pas sur la page cible → signalement (synchronisation orpheline).</t>
  </si>
  <si>
    <t xml:space="preserve">ρ = champs multi-pages synchronisés / champs multi-pages</t>
  </si>
  <si>
    <t xml:space="preserve">champ, pages[], groupe_sync, filterChanges, visible_sur</t>
  </si>
  <si>
    <t xml:space="preserve">La non-synchronisation peut être un choix fonctionnel (comparaison de deux périodes sur deux pages) : exception déclarable.</t>
  </si>
  <si>
    <t xml:space="preserve">Créer un groupe de synchronisation pour les champs listés.</t>
  </si>
  <si>
    <t xml:space="preserve">DSG-07</t>
  </si>
  <si>
    <t xml:space="preserve">Éliminer les visuels inutiles ou redondants.</t>
  </si>
  <si>
    <t xml:space="preserve">Visuels</t>
  </si>
  <si>
    <t xml:space="preserve">NA si &lt; 3 visuels au total.</t>
  </si>
  <si>
    <t xml:space="preserve">1. Calculer pour chaque visuel une SIGNATURE = SHA-256 de (type_visuel, ensemble trié des queryRef projetés, ensemble trié des filtres de visuel, ordre de tri).
2. REDONDANT = deux visuels de la même page partageant la même signature (hors visuels appartenant à des signets mutuellement exclusifs — détection via l'appartenance à des états de signets disjoints).
3. VIDE = visuel sans aucun champ projeté (hors formes, images, zones de texte, boutons).
4. INVISIBLE_MORT = visuel avec isHidden = true qui n'est activé par aucun signet.
5. QUASI-REDONDANT = même type + Jaccard(champs) ≥ 0,8 → signalé sans verdict.
6. ρ = 1 − (redondants + vides + invisibles_morts) / |visuels de données|.</t>
  </si>
  <si>
    <t xml:space="preserve">ρ = 1 − visuels redondants/vides/morts / visuels de données</t>
  </si>
  <si>
    <t xml:space="preserve">page, visuel, type, signature, jumeau, motif</t>
  </si>
  <si>
    <t xml:space="preserve">Deux visuels identiques peuvent servir à un mécanisme de bascule (bookmark toggle) : l'exclusion par signets couvre le cas principal.</t>
  </si>
  <si>
    <t xml:space="preserve">Supprimer les visuels listés.</t>
  </si>
  <si>
    <t xml:space="preserve">O(V) avec table de hachage</t>
  </si>
  <si>
    <t xml:space="preserve">DSG-08</t>
  </si>
  <si>
    <t xml:space="preserve">Désactiver les en-têtes des visuels si non nécessaires.</t>
  </si>
  <si>
    <t xml:space="preserve">Report Layout (objects.visualHeader)</t>
  </si>
  <si>
    <t xml:space="preserve">Propriété d'en-tête des visuels</t>
  </si>
  <si>
    <t xml:space="preserve">NA si aucun visuel de données.</t>
  </si>
  <si>
    <t xml:space="preserve">1. Pour chaque visuel, lire objects.visualHeader[].properties.show (défaut = affiché).
2. NÉCESSAIRE(v) = au moins une action d'en-tête a du sens : drill-down/drill-up activé (hiérarchie projetée), focus mode utile (visuel dense : &gt; 20 points de données ou table/matrice), info-bulle personnalisée, filtre de visuel actif à rendre visible, export de données autorisé.
3. violation(v) = ¬NÉCESSAIRE(v) ∧ show = true.
4. ρ = 1 − violations / |{v : ¬NÉCESSAIRE(v)}|.
5. Contrôle inverse signalé : NÉCESSAIRE(v) ∧ show = false (fonctionnalité rendue inaccessible).</t>
  </si>
  <si>
    <t xml:space="preserve">ρ = en-têtes masqués là où inutiles / visuels sans besoin d'en-tête</t>
  </si>
  <si>
    <t xml:space="preserve">page, visuel, show, criteres_necessite[]</t>
  </si>
  <si>
    <t xml:space="preserve">« Nécessaire » est une appréciation UX : l'agent applique une heuristique documentée, plafonnée à PARTIEL en auto-remplissage.</t>
  </si>
  <si>
    <t xml:space="preserve">Masquer les en-têtes des visuels listés.</t>
  </si>
  <si>
    <t xml:space="preserve">DSG-09</t>
  </si>
  <si>
    <t xml:space="preserve">Ajouter le bandeau de notification</t>
  </si>
  <si>
    <t xml:space="preserve">Report Layout + gabarit CDS de référence</t>
  </si>
  <si>
    <t xml:space="preserve">Zone de texte / forme / image du bandeau</t>
  </si>
  <si>
    <t xml:space="preserve">NA si le gabarit de référence CDS n'est pas déclaré (dépend de DSG-01).</t>
  </si>
  <si>
    <t xml:space="preserve">1. Charger la DÉFINITION DU BANDEAU depuis le gabarit de référence : nom d'objet attendu (ex. 'Bandeau_Notification'), type (textbox/shape/image), zone de position attendue (bande supérieure : y ≤ 60 px, largeur ≥ 0,9 × largeur de page).
2. Pour chaque page (hors pages masquées et pages d'info-bulle), rechercher un objet satisfaisant :
   • nom matche le motif attendu (insensible à la casse/accents), OU
   • type + géométrie dans la zone attendue + contenu textuel matche le motif MOTIF_BANDEAU (regex administrable, ex. (?i)(donn[ée]es? (mises? à jour|actualis)|derni[èe]re actualisation|notification)).
3. ρ = pages avec bandeau conforme / pages éligibles.
4. Contrôle additionnel : le bandeau est-il au même emplacement sur toutes les pages (écart ≤ 5 px) ?</t>
  </si>
  <si>
    <t xml:space="preserve">ρ = pages portant le bandeau / pages éligibles</t>
  </si>
  <si>
    <t xml:space="preserve">0,85 (si motif fourni)</t>
  </si>
  <si>
    <t xml:space="preserve">page, objet_trouve, nom, type, x, y, w, h, texte (100 car.)</t>
  </si>
  <si>
    <t xml:space="preserve">Nécessite que la définition exacte du bandeau Colas soit chargée dans Veridash une fois pour toutes.</t>
  </si>
  <si>
    <t xml:space="preserve">Ajouter le bandeau de notification sur les pages listées.</t>
  </si>
  <si>
    <t xml:space="preserve">O(P × E)</t>
  </si>
  <si>
    <t xml:space="preserve">DSG-10</t>
  </si>
  <si>
    <t xml:space="preserve">Définir la landing page sur la bonne page ("landingpage" visible dans le report .json)</t>
  </si>
  <si>
    <t xml:space="preserve">Report Layout / report.json</t>
  </si>
  <si>
    <t xml:space="preserve">Propriété de page d'accueil, ordre des pages</t>
  </si>
  <si>
    <t xml:space="preserve">NA si le rapport ne contient qu'une seule page.</t>
  </si>
  <si>
    <t xml:space="preserve">1. Rechercher dans le JSON du rapport la clé de page d'accueil (selon le format : 'landingPage' dans la configuration du rapport, ou pageBinding/type = 'LandingPage', ou activeSectionIndex).
2. C1 — la propriété est présente et non vide.
3. C2 — elle référence une page EXISTANTE (le nom/identifiant se résout dans sections[]).
4. C3 — la page référencée est VISIBLE (visibility ≠ HiddenInViewMode) et n'est ni une page d'info-bulle (type Tooltip) ni une page de type drillthrough.
5. C4 — cohérence avec l'ordinal : la page d'accueil est celle d'ordinal 0, ou l'écart est explicable.
Verdict : OK si C1∧C2∧C3 ; PARTIEL si C1∧C2 mais ¬C4 ; KO si ¬C1 ou ¬C2 ou ¬C3.</t>
  </si>
  <si>
    <t xml:space="preserve">4 conditions booléennes</t>
  </si>
  <si>
    <t xml:space="preserve">cle_trouvee, valeur, page_resolue, page_visible, ordinal, type_page</t>
  </si>
  <si>
    <t xml:space="preserve">La clé exacte varie selon la version du format (PBIX Layout vs PBIR report.json) : l'extracteur doit couvrir les deux, et la règle passe en INDÉTERMINÉ si aucune clé connue n'est trouvée.</t>
  </si>
  <si>
    <t xml:space="preserve">Définir la page d'accueil sur la page d'entrée du rapport.</t>
  </si>
  <si>
    <t xml:space="preserve">O(P)</t>
  </si>
  <si>
    <t xml:space="preserve">MODÈLE DE DONNÉES CONSÉQUENT (&gt; 1GO)</t>
  </si>
  <si>
    <t xml:space="preserve">BIG-00</t>
  </si>
  <si>
    <t xml:space="preserve">Modèle de données conséquent (&gt; 1Go)</t>
  </si>
  <si>
    <t xml:space="preserve">Précondition</t>
  </si>
  <si>
    <t xml:space="preserve">[Précondition de catégorie] Le modèle dépasse-t-il 1 Go ?</t>
  </si>
  <si>
    <t xml:space="preserve">Taille du fichier + statistiques VertiPaq</t>
  </si>
  <si>
    <t xml:space="preserve">1. taille_modele = max(taille VertiPaq totale décompressée en mémoire, taille du fichier .pbix hors ressources statiques).
2. Si taille_modele &lt; SEUIL_GROS_MODELE (défaut 1 Go) → TOUTES les règles BIG-01..BIG-06 sont positionnées à NON APPLICABLE en un seul geste, avec la taille observée en justification.
3. Zone grise : si 0,8 Go ≤ taille &lt; 1 Go, les règles sont évaluées mais le statut proposé est consultatif (non bloquant) — le modèle est proche du seuil.
4. Sinon → les 6 règles sont évaluées normalement.</t>
  </si>
  <si>
    <t xml:space="preserve">taille_modele (Mo) vs seuil</t>
  </si>
  <si>
    <t xml:space="preserve">Aiguillage (pas de statut propre)</t>
  </si>
  <si>
    <t xml:space="preserve">taille_fichier_Mo, taille_vertipaq_Mo, seuil, decision</t>
  </si>
  <si>
    <t xml:space="preserve">La taille en mémoire diffère de la taille du fichier compressé (facteur 2 à 5) : c'est la taille VertiPaq qui fait foi quand elle est disponible.</t>
  </si>
  <si>
    <t xml:space="preserve">O(1)</t>
  </si>
  <si>
    <t xml:space="preserve">BIG-01</t>
  </si>
  <si>
    <t xml:space="preserve">Exploitez le query folding lorsque possible pour maximiser l'efficacité des transformations.</t>
  </si>
  <si>
    <t xml:space="preserve">Chaînes d'étapes M</t>
  </si>
  <si>
    <t xml:space="preserve">NA si BIG-00 = faux, ou si aucune source foldable.</t>
  </si>
  <si>
    <t xml:space="preserve">1. Pour chaque requête sur source foldable (SQL, Databricks, ODBC, OData, dataflow) :
2. Parcourir les étapes dans l'ordre et déterminer l'INDICE DE RUPTURE = position de la première étape classée BARRIERE (cf. table de foldabilité de PQ-01, enrichie : Table.Buffer, Table.AddIndexColumn, fonctions personnalisées, Table.FromList, accès à Web.Contents, Table.Combine hétérogène, opérations sur des colonnes de type record/list).
3. n_perdues = nb d'étapes FOLDABLE situées APRÈS l'indice de rupture (= folding perdu inutilement).
4. folding_ratio(q) = indice_de_rupture / nb_etapes(q).
5. ρ = moyenne pondérée des folding_ratio, pondérée par la volumétrie de la table produite.
6. L'agent produit la liste ordonnée des étapes à déplacer avant la rupture (gain immédiat).</t>
  </si>
  <si>
    <t xml:space="preserve">ρ = moyenne pondérée du taux d'étapes situées avant la rupture de folding</t>
  </si>
  <si>
    <t xml:space="preserve">requete, indice_rupture, etape_rupture, etapes_perdues[], volumetrie_table</t>
  </si>
  <si>
    <t xml:space="preserve">L'analyse statique ne remplace pas « Afficher la requête native » : certaines étapes théoriquement foldables ne le sont pas selon le driver. Confiance volontairement modérée.</t>
  </si>
  <si>
    <t xml:space="preserve">Remonter les étapes foldables avant l'étape de rupture identifiée.</t>
  </si>
  <si>
    <t xml:space="preserve">BIG-02</t>
  </si>
  <si>
    <t xml:space="preserve">Évitez les fusions (merge) et les ajouts (append) - réservez les étapes « coûteuses » qui lisent l'ensemble des données pour la fin.</t>
  </si>
  <si>
    <t xml:space="preserve">Table.NestedJoin, Table.Join, Table.Combine, Table.Group, Table.Sort, Table.Distinct</t>
  </si>
  <si>
    <t xml:space="preserve">NA si BIG-00 = faux, ou si aucune étape coûteuse.</t>
  </si>
  <si>
    <t xml:space="preserve">1. COÛTEUSES = {Table.NestedJoin, Table.Join, Table.Combine, Table.Group, Table.Sort, Table.Distinct, Table.Pivot, Table.Unpivot, Table.Buffer}.
2. RÉDUCTRICES = {Table.SelectRows, Table.SelectColumns, Table.RemoveColumns, Table.FirstN}.
3. Pour chaque requête q, soit pos(e) la position normalisée d'une étape (0 = début, 1 = fin).
4. violation type A : ∃ étape coûteuse c et étape réductrice r avec pos(c) &lt; pos(r) (on filtre APRÈS avoir joint → lecture inutile de données).
5. violation type B : nb d'étapes coûteuses &gt; NB_MAX_COUTEUSES (défaut 3) dans une même requête.
6. score(q) = position moyenne des étapes coûteuses (idéalement proche de 1).
7. ρ = moyenne des score(q) pénalisée de 0,15 par violation de type A.</t>
  </si>
  <si>
    <t xml:space="preserve">ρ = position moyenne normalisée des étapes coûteuses, pénalisée par les inversions</t>
  </si>
  <si>
    <t xml:space="preserve">requete, etape_couteuse, position, etapes_reductrices_apres[], type_violation</t>
  </si>
  <si>
    <t xml:space="preserve">Une jointure précoce peut être nécessaire pour construire le prédicat de filtrage : cas signalé mais pondéré.</t>
  </si>
  <si>
    <t xml:space="preserve">Déplacer les filtres et suppressions de colonnes avant les fusions/regroupements.</t>
  </si>
  <si>
    <t xml:space="preserve">BIG-03</t>
  </si>
  <si>
    <t xml:space="preserve">Appliquez un filtre précoce et paramétré pour limiter les données lors de l'étape de développement.</t>
  </si>
  <si>
    <t xml:space="preserve">Table.SelectRows, paramètres</t>
  </si>
  <si>
    <t xml:space="preserve">NA si BIG-00 = faux.</t>
  </si>
  <si>
    <t xml:space="preserve">1. Pour chaque requête alimentant une table volumineuse :
2. Rechercher un Table.SelectRows dont le prédicat référence un identifiant ∈ P (paramètre).
3. PRÉCOCE = la position de ce filtre ≤ POSITION_MAX_FILTRE (défaut : dans les 3 premières étapes après Source, ou position normalisée ≤ 0,25).
4. conforme(q) = filtre paramétré présent ∧ précoce.
5. Contrôle additionnel : le paramètre de développement doit être documenté (description non vide) et sa valeur par défaut doit être une valeur de production sûre.
6. ρ = conformes / requêtes volumineuses.</t>
  </si>
  <si>
    <t xml:space="preserve">ρ = requêtes volumineuses avec filtre paramétré précoce / requêtes volumineuses</t>
  </si>
  <si>
    <t xml:space="preserve">requete, filtre_trouve, position, parametre_utilise, valeur_par_defaut</t>
  </si>
  <si>
    <t xml:space="preserve">Recouvrement partiel avec PQ-06 : les deux règles restent distinctes (PQ-06 = profondeur fonctionnelle, BIG-03 = confort de développement). Les preuves sont mutualisées.</t>
  </si>
  <si>
    <t xml:space="preserve">Ajouter un paramètre de profondeur et un filtre en tête de requête.</t>
  </si>
  <si>
    <t xml:space="preserve">BIG-04</t>
  </si>
  <si>
    <t xml:space="preserve">Configurez l'actualisation incremental si vous devez actualiser uniquement les données modifiées ou récentes.</t>
  </si>
  <si>
    <t xml:space="preserve">Modèle sémantique (refreshPolicy) + paramètres M</t>
  </si>
  <si>
    <t xml:space="preserve">Politique d'actualisation incrémentielle, RangeStart/RangeEnd</t>
  </si>
  <si>
    <t xml:space="preserve">NA si BIG-00 = faux, ou si aucune table de fait avec colonne date.</t>
  </si>
  <si>
    <t xml:space="preserve">Contrôle en 5 conditions par table de fait volumineuse f :
C1 — f possède une refreshPolicy (policyType = basic) ;
C2 — les paramètres RangeStart et RangeEnd existent, de type dateTime ;
C3 — la requête M de f contient un Table.SelectRows utilisant RangeStart (≥) et RangeEnd (&lt;) avec les bons opérateurs (inclusif/exclusif) — une erreur d'opérateur provoque des doublons ou des trous : contrôle explicite ;
C4 — les fenêtres incrementalPeriods/rollingWindow sont cohérentes (rollingWindow ≥ incrementalWindow) ;
C5 — le folding est préservé jusqu'au filtre RangeStart/RangeEnd (sinon la partition est évaluée en mémoire → contre-productif ; croisement avec BIG-01).
ρ = Σ conditions satisfaites / (5 × nb de tables volumineuses éligibles).</t>
  </si>
  <si>
    <t xml:space="preserve">ρ sur C1..C5 par table de fait volumineuse</t>
  </si>
  <si>
    <t xml:space="preserve">table, refreshPolicy, incrementalWindow, rollingWindow, operateurs_filtre, folding_preserve</t>
  </si>
  <si>
    <t xml:space="preserve">L'actualisation incrémentielle peut être configurée côté service et non dans le fichier : si le modèle est publié, croiser avec l'API REST Power BI (extension possible).</t>
  </si>
  <si>
    <t xml:space="preserve">Configurer l'actualisation incrémentielle avec RangeStart/RangeEnd.</t>
  </si>
  <si>
    <t xml:space="preserve">O(T + S)</t>
  </si>
  <si>
    <t xml:space="preserve">BIG-05</t>
  </si>
  <si>
    <t xml:space="preserve">Évaluer les performances du DAX avec DAX Studio.</t>
  </si>
  <si>
    <t xml:space="preserve">Modèle sémantique (analyse statique)</t>
  </si>
  <si>
    <t xml:space="preserve">Mesures, anti-motifs DAX</t>
  </si>
  <si>
    <t xml:space="preserve">PRÉ-DIAGNOSTIC (l'exécution d'un profilage n'est pas observable dans les artefacts) :
1. Détecter les ANTI-MOTIFS de performance par analyse de l'arbre syntaxique :
   • FILTER(Table_entière, …) au lieu de FILTER(VALUES(col), …) ou d'un prédicat CALCULATE ;
   • itérateurs imbriqués (SUMX dans SUMX) ;
   • DISTINCTCOUNT sur une colonne à très forte cardinalité ;
   • EARLIER (remplaçable par VAR) ;
   • conversions implicites dans des comparaisons (colonne texte comparée à un nombre) ;
   • ALL() sur une table de faits entière ;
   • fonctions de time intelligence appliquées sans table de dates marquée ;
   • IF imbriqués &gt; 5 niveaux (préférer SWITCH).
2. score_risque(m) = Σ poids des anti-motifs détectés.
3. L'agent produit le TOP 10 des mesures à profiler, classé par score_risque × nb d'usages dans les visuels.
4. Statut : NON RENSEIGNÉ (l'acte de profilage reste humain) SAUF si score_risque = 0 sur l'ensemble du modèle → proposition OK avec mention « aucun anti-motif détecté ».</t>
  </si>
  <si>
    <t xml:space="preserve">score_risque global + top 10 des mesures à profiler</t>
  </si>
  <si>
    <t xml:space="preserve">P5 (humain) — pré-diagnostic</t>
  </si>
  <si>
    <t xml:space="preserve">mesure, anti_motifs[], score_risque, nb_usages, extrait_code</t>
  </si>
  <si>
    <t xml:space="preserve">Ne mesure pas les temps d'exécution réels ; ne remplace pas DAX Studio. Fournit la liste de travail, pas le verdict.</t>
  </si>
  <si>
    <t xml:space="preserve">Profiler les mesures listées dans DAX Studio et corriger les anti-motifs.</t>
  </si>
  <si>
    <t xml:space="preserve">BIG-06</t>
  </si>
  <si>
    <t xml:space="preserve">Vérifier si des boutons « Appliquer » sont nécessaires pour les Slicers et le volet de filtres.</t>
  </si>
  <si>
    <t xml:space="preserve">Report Layout (paramètres du rapport et des slicers)</t>
  </si>
  <si>
    <t xml:space="preserve">Bouton Appliquer du volet de filtres, sélection unique/multiple des slicers</t>
  </si>
  <si>
    <t xml:space="preserve">NA si BIG-00 = faux et si aucune partition en DirectQuery.</t>
  </si>
  <si>
    <t xml:space="preserve">1. NÉCESSITÉ : le bouton Appliquer est requis si (modèle &gt; seuil) OU (≥ 1 partition en DirectQuery/Dual) OU (≥ SEUIL_SLICERS (défaut 4) slicers sur une même page).
2. DÉTECTION : lire dans la configuration du rapport le drapeau d'application différée des filtres (bouton Appliquer du volet de filtres) et, pour chaque slicer, la présence d'un bouton Appliquer/mode de sélection différée.
3. conforme(page) = ¬nécessité(page) ∨ (bouton présent).
4. ρ = pages conformes / pages.
5. Si le drapeau n'est pas trouvable dans le format lu → INDÉTERMINÉ (pas de pré-remplissage), avec un rappel du contexte (taille du modèle, mode de stockage).</t>
  </si>
  <si>
    <t xml:space="preserve">ρ = pages conformes / pages nécessitant un bouton Appliquer</t>
  </si>
  <si>
    <t xml:space="preserve">page, nb_slicers, mode_stockage, bouton_appliquer_detecte, necessite</t>
  </si>
  <si>
    <t xml:space="preserve">La clé de configuration du bouton Appliquer dépend de la version du format de rapport : à valider sur un échantillon réel avant mise en production de la règle.</t>
  </si>
  <si>
    <t xml:space="preserve">Activer le bouton Appliquer sur le volet de filtres et les slicers concernés.</t>
  </si>
  <si>
    <t xml:space="preserve">O(P + V)</t>
  </si>
  <si>
    <t xml:space="preserve">Paramètres administrables de l'agent</t>
  </si>
  <si>
    <t xml:space="preserve">Les cellules en jaune sont les seules valeurs à modifier. Aucune de ces constantes n'est écrite en dur dans le code de l'agent.</t>
  </si>
  <si>
    <t xml:space="preserve">Domaine</t>
  </si>
  <si>
    <t xml:space="preserve">Paramètre</t>
  </si>
  <si>
    <t xml:space="preserve">Valeur</t>
  </si>
  <si>
    <t xml:space="preserve">Rôle</t>
  </si>
  <si>
    <t xml:space="preserve">Format attendu</t>
  </si>
  <si>
    <t xml:space="preserve">Extraction</t>
  </si>
  <si>
    <t xml:space="preserve">FORMAT_ENTREE_PRIORITAIRE</t>
  </si>
  <si>
    <t xml:space="preserve">pbip</t>
  </si>
  <si>
    <t xml:space="preserve">Format lu en priorité : pbip (dossier projet, TMDL/JSON) ou pbix.</t>
  </si>
  <si>
    <t xml:space="preserve">pbip | pbix | xmla</t>
  </si>
  <si>
    <t xml:space="preserve">TAILLE_MAX_FICHIER_MO</t>
  </si>
  <si>
    <t xml:space="preserve">Refus au-delà, avec message explicite à l'utilisateur.</t>
  </si>
  <si>
    <t xml:space="preserve">entier</t>
  </si>
  <si>
    <t xml:space="preserve">TIMEOUT_EXTRACTION_S</t>
  </si>
  <si>
    <t xml:space="preserve">Délai maximal de la phase d'extraction.</t>
  </si>
  <si>
    <t xml:space="preserve">LIRE_DONNEES</t>
  </si>
  <si>
    <t xml:space="preserve">VRAI</t>
  </si>
  <si>
    <t xml:space="preserve">Autoriser la lecture des données (nécessaire pour GEN-05 et PQ-08).</t>
  </si>
  <si>
    <t xml:space="preserve">VRAI | FAUX</t>
  </si>
  <si>
    <t xml:space="preserve">ECHANTILLON_LIGNES</t>
  </si>
  <si>
    <t xml:space="preserve">Taille d'échantillon pour l'inférence de types.</t>
  </si>
  <si>
    <t xml:space="preserve">Contexte</t>
  </si>
  <si>
    <t xml:space="preserve">DATASET_PARTAGE</t>
  </si>
  <si>
    <t xml:space="preserve">FAUX</t>
  </si>
  <si>
    <t xml:space="preserve">Si VRAI, désactive la détection d'objets orphelins (DAX-01a, GEN-01).</t>
  </si>
  <si>
    <t xml:space="preserve">TYPE_LIVRABLE</t>
  </si>
  <si>
    <t xml:space="preserve">Power BI</t>
  </si>
  <si>
    <t xml:space="preserve">Pilote la précondition de MOD-07a.</t>
  </si>
  <si>
    <t xml:space="preserve">Power BI | App BI | Build</t>
  </si>
  <si>
    <t xml:space="preserve">TEMPLATE_CDS_UTILISE</t>
  </si>
  <si>
    <t xml:space="preserve">Si FAUX, DSG-01 et DSG-09 passent en Non applicable.</t>
  </si>
  <si>
    <t xml:space="preserve">Seuils globaux</t>
  </si>
  <si>
    <t xml:space="preserve">SEUIL_GROS_MODELE_MO</t>
  </si>
  <si>
    <t xml:space="preserve">Déclenche la catégorie « Modèle de données conséquent ».</t>
  </si>
  <si>
    <t xml:space="preserve">SEUIL_LIGNES</t>
  </si>
  <si>
    <t xml:space="preserve">Définition d'une table volumineuse.</t>
  </si>
  <si>
    <t xml:space="preserve">Décision</t>
  </si>
  <si>
    <t xml:space="preserve">TAU_OK_P2</t>
  </si>
  <si>
    <t xml:space="preserve">Seuil OK du profil standard.</t>
  </si>
  <si>
    <t xml:space="preserve">0 à 1</t>
  </si>
  <si>
    <t xml:space="preserve">TAU_PARTIEL_P2</t>
  </si>
  <si>
    <t xml:space="preserve">Seuil PARTIEL du profil standard.</t>
  </si>
  <si>
    <t xml:space="preserve">TAU_OK_P3</t>
  </si>
  <si>
    <t xml:space="preserve">Seuil OK du profil souple.</t>
  </si>
  <si>
    <t xml:space="preserve">TAU_PARTIEL_P3</t>
  </si>
  <si>
    <t xml:space="preserve">Seuil PARTIEL du profil souple.</t>
  </si>
  <si>
    <t xml:space="preserve">CONFIANCE_MIN_AUTOREMPLISSAGE</t>
  </si>
  <si>
    <t xml:space="preserve">En dessous, le statut est proposé mais marqué « à confirmer ».</t>
  </si>
  <si>
    <t xml:space="preserve">CONFIANCE_MIN_KO</t>
  </si>
  <si>
    <t xml:space="preserve">En dessous, l'agent ne propose jamais KO (plafond PARTIEL).</t>
  </si>
  <si>
    <t xml:space="preserve">Nommage</t>
  </si>
  <si>
    <t xml:space="preserve">LONGUEUR_MAX_NOM</t>
  </si>
  <si>
    <t xml:space="preserve">MOD-05a — concision.</t>
  </si>
  <si>
    <t xml:space="preserve">ABBR_LIST</t>
  </si>
  <si>
    <t xml:space="preserve">Nb;Qte;Mt;Lib;Cd;Ref;Dt;Cli;Frs;Prd;Tot;Dsg;Ct</t>
  </si>
  <si>
    <t xml:space="preserve">MOD-05b — abréviations interdites.</t>
  </si>
  <si>
    <t xml:space="preserve">liste ;</t>
  </si>
  <si>
    <t xml:space="preserve">SIGLES_AUTORISES</t>
  </si>
  <si>
    <t xml:space="preserve">CA;EBITDA;KPI;TVA;ETP;HT;TTC;BI;RH;QSE;CDS</t>
  </si>
  <si>
    <t xml:space="preserve">MOD-05b — liste blanche.</t>
  </si>
  <si>
    <t xml:space="preserve">PREFIXES</t>
  </si>
  <si>
    <t xml:space="preserve">D_;F_;T_</t>
  </si>
  <si>
    <t xml:space="preserve">MOD-05c — préfixes attendus.</t>
  </si>
  <si>
    <t xml:space="preserve">SEUIL_COMPLEXITE_K</t>
  </si>
  <si>
    <t xml:space="preserve">DAX-03 / DAX-04 — seuil de complexité d'une mesure.</t>
  </si>
  <si>
    <t xml:space="preserve">SEUIL_LONGUEUR_FORMAT</t>
  </si>
  <si>
    <t xml:space="preserve">DAX-02 — longueur au-delà de laquelle un saut de ligne est exigé.</t>
  </si>
  <si>
    <t xml:space="preserve">LARGEUR_MAX_LIGNE</t>
  </si>
  <si>
    <t xml:space="preserve">DAX-02 — largeur maximale d'une ligne.</t>
  </si>
  <si>
    <t xml:space="preserve">SEUIL_DISTANCE_FORMAT</t>
  </si>
  <si>
    <t xml:space="preserve">DAX-02 — distance maximale au formatage canonique.</t>
  </si>
  <si>
    <t xml:space="preserve">TAILLE_MIN_FRAGMENT</t>
  </si>
  <si>
    <t xml:space="preserve">DAX-01b — taille minimale d'un fragment dupliqué (en jetons).</t>
  </si>
  <si>
    <t xml:space="preserve">NB_MIN_OCCURRENCES</t>
  </si>
  <si>
    <t xml:space="preserve">DAX-01b — nb de mesures partageant le fragment.</t>
  </si>
  <si>
    <t xml:space="preserve">SEUIL_SIMILARITE_DOUBLON</t>
  </si>
  <si>
    <t xml:space="preserve">DAX-01a — Jaccard minimal pour un quasi-doublon.</t>
  </si>
  <si>
    <t xml:space="preserve">NB_MIN_VARIANTES_CG</t>
  </si>
  <si>
    <t xml:space="preserve">DAX-05 — taille minimale d'une famille de mesures.</t>
  </si>
  <si>
    <t xml:space="preserve">NB_MIN_ECONOMIE_CG</t>
  </si>
  <si>
    <t xml:space="preserve">DAX-05 — potentiel déclenchant la recommandation.</t>
  </si>
  <si>
    <t xml:space="preserve">SEUIL_ETAPES_COMMENTAIRE</t>
  </si>
  <si>
    <t xml:space="preserve">DAX-04 — nb d'étapes rendant une requête « complexe ».</t>
  </si>
  <si>
    <t xml:space="preserve">LONGUEUR_ETAPE_COMPLEXE</t>
  </si>
  <si>
    <t xml:space="preserve">PQ-07 — longueur d'expression rendant une étape non simple.</t>
  </si>
  <si>
    <t xml:space="preserve">NB_MAX_COUTEUSES</t>
  </si>
  <si>
    <t xml:space="preserve">BIG-02 — nb maximal d'étapes coûteuses par requête.</t>
  </si>
  <si>
    <t xml:space="preserve">ENDPOINTS_DEDIES</t>
  </si>
  <si>
    <t xml:space="preserve">(à renseigner par l'équipe Data)</t>
  </si>
  <si>
    <t xml:space="preserve">PQ-05 — liste blanche des HTTP_Path autorisés.</t>
  </si>
  <si>
    <t xml:space="preserve">LONGUEUR_MIN_DESC</t>
  </si>
  <si>
    <t xml:space="preserve">MOD-07 — longueur minimale d'une description.</t>
  </si>
  <si>
    <t xml:space="preserve">LONGUEUR_MIN_DESC_BUILD</t>
  </si>
  <si>
    <t xml:space="preserve">MOD-07a — longueur minimale sur périmètre Build.</t>
  </si>
  <si>
    <t xml:space="preserve">SEUIL_MESURES_DOSSIER</t>
  </si>
  <si>
    <t xml:space="preserve">MOD-06b — activation de la règle des dossiers.</t>
  </si>
  <si>
    <t xml:space="preserve">NB_MAX_TABLES_MESURES</t>
  </si>
  <si>
    <t xml:space="preserve">MOD-06a — éviter l'éparpillement.</t>
  </si>
  <si>
    <t xml:space="preserve">Design</t>
  </si>
  <si>
    <t xml:space="preserve">SEUIL_VISUELS_GROUPE</t>
  </si>
  <si>
    <t xml:space="preserve">DSG-03 — nb de visuels au-delà duquel le groupement est exigé.</t>
  </si>
  <si>
    <t xml:space="preserve">SEUIL_SLICERS_APPLIQUER</t>
  </si>
  <si>
    <t xml:space="preserve">BIG-06 — nb de slicers déclenchant le besoin d'un bouton Appliquer.</t>
  </si>
  <si>
    <t xml:space="preserve">MOTIF_BANDEAU</t>
  </si>
  <si>
    <t xml:space="preserve">(?i)(derni[eè]re actualisation|donn[ée]es? actualis|notification)</t>
  </si>
  <si>
    <t xml:space="preserve">DSG-09 — motif de reconnaissance du bandeau.</t>
  </si>
  <si>
    <t xml:space="preserve">regex</t>
  </si>
  <si>
    <t xml:space="preserve">TOLERANCE_POSITION_PX</t>
  </si>
  <si>
    <t xml:space="preserve">DSG-01 / DSG-09 — tolérance de positionnement.</t>
  </si>
  <si>
    <t xml:space="preserve">Couverture de l'automatisation</t>
  </si>
  <si>
    <t xml:space="preserve">Calculé par formules sur l'onglet Algorithmes_Regles. Se met à jour si le référentiel évolue.</t>
  </si>
  <si>
    <t xml:space="preserve">Points de contrôle</t>
  </si>
  <si>
    <t xml:space="preserve">Taux d'automatisation</t>
  </si>
  <si>
    <t xml:space="preserve">TOTAL</t>
  </si>
  <si>
    <t xml:space="preserve">Répartition par criticité</t>
  </si>
  <si>
    <t xml:space="preserve">Dont automatisables (A+B)</t>
  </si>
  <si>
    <t xml:space="preserve">Taux</t>
  </si>
  <si>
    <t xml:space="preserve">Lecture : le taux d'automatisation additionne les classes A et B, c'est-à-dire les points de contrôle pour lesquels l'agent propose un statut. Les points de classe C restent NON RENSEIGNÉS et sont accompagnés d'un pré-diagnostic chiffré destiné au relecteur.</t>
  </si>
  <si>
    <t xml:space="preserve">Représentation intermédiaire normalisée (MIR)</t>
  </si>
  <si>
    <t xml:space="preserve">Toutes les règles s'exécutent sur cette structure, jamais sur le fichier d'origine. C'est elle qui rend l'agent indépendant du format d'entrée (pbip, pbix ou XMLA) et qui garantit qu'un même rapport donne le même score quelle que soit la source.</t>
  </si>
  <si>
    <t xml:space="preserve">Entité MIR</t>
  </si>
  <si>
    <t xml:space="preserve">Attributs normalisés</t>
  </si>
  <si>
    <t xml:space="preserve">Nature</t>
  </si>
  <si>
    <t xml:space="preserve">Source d'extraction</t>
  </si>
  <si>
    <t xml:space="preserve">Règles consommatrices</t>
  </si>
  <si>
    <t xml:space="preserve">model</t>
  </si>
  <si>
    <t xml:space="preserve">name, culture, compatibilityLevel, discourageImplicitMeasures, annotations{}, tailleMo</t>
  </si>
  <si>
    <t xml:space="preserve">TMDL / model.bim / XMLA</t>
  </si>
  <si>
    <t xml:space="preserve">GEN-02, MOD-02, BIG-00</t>
  </si>
  <si>
    <t xml:space="preserve">tables[]</t>
  </si>
  <si>
    <t xml:space="preserve">name, isHidden, dataCategory, description, classe(FAIT|DIM|TECH), nbLignes, tailleMo, refreshPolicy</t>
  </si>
  <si>
    <t xml:space="preserve">TMDL / model.bim</t>
  </si>
  <si>
    <t xml:space="preserve">MOD-01, MOD-03a, MOD-05c, BIG-04</t>
  </si>
  <si>
    <t xml:space="preserve">columns[]</t>
  </si>
  <si>
    <t xml:space="preserve">table, name, dataType, formatString, summarizeBy, isHidden, isKey, sortByColumn, displayFolder, description, distinctCount, tailleMo, sourceExpression</t>
  </si>
  <si>
    <t xml:space="preserve">Colonnes</t>
  </si>
  <si>
    <t xml:space="preserve">TMDL + stats VertiPaq</t>
  </si>
  <si>
    <t xml:space="preserve">PQ-02, PQ-08, MOD-02, MOD-03, MOD-07</t>
  </si>
  <si>
    <t xml:space="preserve">measures[]</t>
  </si>
  <si>
    <t xml:space="preserve">table, name, expression, formatString, displayFolder, description, isHidden, tokens[], ast, K(complexité), hash, dependances[]</t>
  </si>
  <si>
    <t xml:space="preserve">Mesures</t>
  </si>
  <si>
    <t xml:space="preserve">TMDL + analyseur DAX</t>
  </si>
  <si>
    <t xml:space="preserve">DAX-01→06, MOD-06, MOD-07</t>
  </si>
  <si>
    <t xml:space="preserve">relationships[]</t>
  </si>
  <si>
    <t xml:space="preserve">from(table,col), to(table,col), fromCardinality, toCardinality, crossFilteringBehavior, isActive, relyOnReferentialIntegrity</t>
  </si>
  <si>
    <t xml:space="preserve">MOD-04, GEN-05</t>
  </si>
  <si>
    <t xml:space="preserve">partitions[]</t>
  </si>
  <si>
    <t xml:space="preserve">table, name, mode(import|directQuery|dual), sourceType, expressionRef</t>
  </si>
  <si>
    <t xml:space="preserve">Partitions</t>
  </si>
  <si>
    <t xml:space="preserve">PQ-05, BIG-06</t>
  </si>
  <si>
    <t xml:space="preserve">mQueries[]</t>
  </si>
  <si>
    <t xml:space="preserve">name, isParameter, isFunction, loadEnabled, steps[](name, function, expression, foldable, position), connecteur, args{}, dependances[]</t>
  </si>
  <si>
    <t xml:space="preserve">Code Power Query</t>
  </si>
  <si>
    <t xml:space="preserve">PQ-01→07, BIG-01→04</t>
  </si>
  <si>
    <t xml:space="preserve">parameters[]</t>
  </si>
  <si>
    <t xml:space="preserve">name, type, defaultValue, description, usages[]</t>
  </si>
  <si>
    <t xml:space="preserve">Paramètres M</t>
  </si>
  <si>
    <t xml:space="preserve">Section1.m</t>
  </si>
  <si>
    <t xml:space="preserve">PQ-03, PQ-06, BIG-03</t>
  </si>
  <si>
    <t xml:space="preserve">pages[]</t>
  </si>
  <si>
    <t xml:space="preserve">name, displayName, ordinal, width, height, displayOption, visibility, type(normal|tooltip|drillthrough), mobileLayout</t>
  </si>
  <si>
    <t xml:space="preserve">Pages du rapport</t>
  </si>
  <si>
    <t xml:space="preserve">Layout / report.json</t>
  </si>
  <si>
    <t xml:space="preserve">DSG-02, DSG-10</t>
  </si>
  <si>
    <t xml:space="preserve">visuals[]</t>
  </si>
  <si>
    <t xml:space="preserve">page, id, name, type, x, y, w, h, isHidden, parentGroup, projections[](queryRef, aggregation), filters[], objects{}, signature</t>
  </si>
  <si>
    <t xml:space="preserve">DSG-03→08, DAX-01</t>
  </si>
  <si>
    <t xml:space="preserve">interactions[]</t>
  </si>
  <si>
    <t xml:space="preserve">page, source, cible, type(none|filter|highlight), explicite</t>
  </si>
  <si>
    <t xml:space="preserve">Matrice d'interactions</t>
  </si>
  <si>
    <t xml:space="preserve">Layout (relationships)</t>
  </si>
  <si>
    <t xml:space="preserve">DSG-04, DSG-05</t>
  </si>
  <si>
    <t xml:space="preserve">slicers[]</t>
  </si>
  <si>
    <t xml:space="preserve">page, champ, syncGroup, filterChanges, mode</t>
  </si>
  <si>
    <t xml:space="preserve">Slicers</t>
  </si>
  <si>
    <t xml:space="preserve">Layout</t>
  </si>
  <si>
    <t xml:space="preserve">DSG-06, BIG-06</t>
  </si>
  <si>
    <t xml:space="preserve">bookmarks[]</t>
  </si>
  <si>
    <t xml:space="preserve">name, groupe, etatsVisuels{}</t>
  </si>
  <si>
    <t xml:space="preserve">Signets</t>
  </si>
  <si>
    <t xml:space="preserve">DSG-03, DSG-07</t>
  </si>
  <si>
    <t xml:space="preserve">theme</t>
  </si>
  <si>
    <t xml:space="preserve">name, dataColors[], background, foreground, fonts{}</t>
  </si>
  <si>
    <t xml:space="preserve">Thème</t>
  </si>
  <si>
    <t xml:space="preserve">StaticResources</t>
  </si>
  <si>
    <t xml:space="preserve">usageIndex</t>
  </si>
  <si>
    <t xml:space="preserve">objet → {visuels[], mesures[], relations[], hierarchies[], sortBy, rls}</t>
  </si>
  <si>
    <t xml:space="preserve">Index d'usage (calculé une seule fois)</t>
  </si>
  <si>
    <t xml:space="preserve">Construit à partir du MIR</t>
  </si>
  <si>
    <t xml:space="preserve">MOD-03, GEN-01, GEN-04, DAX-01a</t>
  </si>
  <si>
    <t xml:space="preserve">fingerprint</t>
  </si>
  <si>
    <t xml:space="preserve">Merkle : hash par table / requête / page, puis racine</t>
  </si>
  <si>
    <t xml:space="preserve">Empreinte du modèle</t>
  </si>
  <si>
    <t xml:space="preserve">Calculé</t>
  </si>
  <si>
    <t xml:space="preserve">Cache et ré-analyse incrémentale</t>
  </si>
  <si>
    <t xml:space="preserve">Décisions à arbitrer avant développement</t>
  </si>
  <si>
    <t xml:space="preserve">Colonne « Votre réponse » à compléter (cellules jaunes). Sans réponse, l'agent est construit avec la valeur par défaut proposée.</t>
  </si>
  <si>
    <t xml:space="preserve">N°</t>
  </si>
  <si>
    <t xml:space="preserve">Question</t>
  </si>
  <si>
    <t xml:space="preserve">Proposition par défaut</t>
  </si>
  <si>
    <t xml:space="preserve">Votre réponse</t>
  </si>
  <si>
    <t xml:space="preserve">Q1</t>
  </si>
  <si>
    <t xml:space="preserve">Entrée</t>
  </si>
  <si>
    <t xml:space="preserve">Quel format d'entrée retient-on en priorité ? Le format PBIP (dossier de projet Power BI, contenu 100 % texte) rend l'analyse déterministe, complète et exécutable sur Linux. Le .pbix impose de décompresser un flux propriétaire pour atteindre le modèle sémantique.</t>
  </si>
  <si>
    <t xml:space="preserve">PBIP en priorité, .pbix accepté en dégradé (rapport + Power Query complets, modèle sémantique partiel).</t>
  </si>
  <si>
    <t xml:space="preserve">Q2</t>
  </si>
  <si>
    <t xml:space="preserve">Les rapports à auditer sont-ils publiés sur un espace de travail Premium / Fabric avec point de terminaison XMLA activé ?</t>
  </si>
  <si>
    <t xml:space="preserve">Si oui, ajouter un troisième mode de collecte par XMLA en lecture seule : c'est le plus fiable et il évite tout téléversement de fichier.</t>
  </si>
  <si>
    <t xml:space="preserve">Q3</t>
  </si>
  <si>
    <t xml:space="preserve">Données</t>
  </si>
  <si>
    <t xml:space="preserve">L'agent est-il autorisé à lire les DONNÉES contenues dans le modèle, et pas seulement sa structure ? Deux règles en dépendent : l'intégrité référentielle (GEN-05) et la cardinalité (PQ-08).</t>
  </si>
  <si>
    <t xml:space="preserve">Oui, lecture en mémoire uniquement, aucune donnée persistée, suppression du fichier après analyse selon la rétention déjà paramétrée dans Veridash.</t>
  </si>
  <si>
    <t xml:space="preserve">Q4</t>
  </si>
  <si>
    <t xml:space="preserve">Statuts</t>
  </si>
  <si>
    <t xml:space="preserve">L'agent doit-il pouvoir proposer le statut PARTIEL, ou se limiter à OK / KO / NA ?</t>
  </si>
  <si>
    <t xml:space="preserve">Conserver PARTIEL : la formule de score de Veridash le valorise à 0,5 et il évite de sanctionner un modèle conforme à 90 %.</t>
  </si>
  <si>
    <t xml:space="preserve">Q5</t>
  </si>
  <si>
    <t xml:space="preserve">Quand la confiance est faible, préfère-t-on un statut proposé et signalé « à confirmer », ou un point laissé vide ?</t>
  </si>
  <si>
    <t xml:space="preserve">Statut proposé et signalé, sauf en classe C où le point reste vide avec un pré-diagnostic.</t>
  </si>
  <si>
    <t xml:space="preserve">Q6</t>
  </si>
  <si>
    <t xml:space="preserve">Que fait l'agent sur un point déjà renseigné par un humain lors d'une seconde exécution ?</t>
  </si>
  <si>
    <t xml:space="preserve">Il ne l'écrase jamais. Il produit un écart signalé, visible dans le rapport d'analyse.</t>
  </si>
  <si>
    <t xml:space="preserve">Q7</t>
  </si>
  <si>
    <t xml:space="preserve">Périmètre</t>
  </si>
  <si>
    <t xml:space="preserve">Les sous-règles (les lignes commençant par « -&gt; ») doivent-elles compter dans le score au même titre que les règles mères, ou seulement alimenter le verdict de la mère ?</t>
  </si>
  <si>
    <t xml:space="preserve">Seules les règles mères comptent dans le score ; les sous-règles servent de justification et de plan d'action. À confirmer car cela change le dénominateur.</t>
  </si>
  <si>
    <t xml:space="preserve">Q8</t>
  </si>
  <si>
    <t xml:space="preserve">Seuils</t>
  </si>
  <si>
    <t xml:space="preserve">Valide-t-on les profils de seuils proposés (P1 strict à 100 %, P2 standard à 95 %/60 %, P3 souple à 85 %/50 %) ?</t>
  </si>
  <si>
    <t xml:space="preserve">Oui, avec calibrage sur 5 à 10 rapports déjà audités manuellement avant mise en service.</t>
  </si>
  <si>
    <t xml:space="preserve">Q9</t>
  </si>
  <si>
    <t xml:space="preserve">Référentiels</t>
  </si>
  <si>
    <t xml:space="preserve">Qui fournit la liste blanche des points de terminaison Databricks dédiés (PQ-05) et le fichier de thème CDS de référence (DSG-01, DSG-09) ?</t>
  </si>
  <si>
    <t xml:space="preserve">Sans ces deux référentiels, 3 règles restent en Non applicable. À charger une fois pour toutes dans l'administration Veridash.</t>
  </si>
  <si>
    <t xml:space="preserve">Q10</t>
  </si>
  <si>
    <t xml:space="preserve">Quels sigles métier Colas doivent figurer en liste blanche pour la détection d'abréviations (MOD-05b) ?</t>
  </si>
  <si>
    <t xml:space="preserve">Liste initiale proposée dans l'onglet Parametres, à compléter.</t>
  </si>
  <si>
    <t xml:space="preserve">Q11</t>
  </si>
  <si>
    <t xml:space="preserve">Langue</t>
  </si>
  <si>
    <t xml:space="preserve">Les rapports sont-ils développés avec Power BI Desktop en français, en anglais, ou les deux ?</t>
  </si>
  <si>
    <t xml:space="preserve">Les deux : le dictionnaire de noms d'étapes automatiques (PQ-07) doit couvrir FR et EN.</t>
  </si>
  <si>
    <t xml:space="preserve">Q12</t>
  </si>
  <si>
    <t xml:space="preserve">IA</t>
  </si>
  <si>
    <t xml:space="preserve">Autorise-t-on un second passage par un modèle de langage pour les règles subjectives (qualité des commentaires, cohérence des noms, pertinence des descriptions) ?</t>
  </si>
  <si>
    <t xml:space="preserve">Optionnel, désactivé par défaut. Si activé, il n'intervient qu'en complément d'un verdict déjà calculé et ne peut que faire passer de KO à PARTIEL, jamais l'inverse.</t>
  </si>
  <si>
    <t xml:space="preserve">Q13</t>
  </si>
  <si>
    <t xml:space="preserve">Performance</t>
  </si>
  <si>
    <t xml:space="preserve">Quel budget de temps est acceptable pour une analyse complète ?</t>
  </si>
  <si>
    <t xml:space="preserve">Cible : moins de 30 secondes pour un modèle de 200 Mo, moins de 3 minutes pour 1,5 Go. Analyse asynchrone avec barre de progression au-delà de 5 secondes.</t>
  </si>
  <si>
    <t xml:space="preserve">Q14</t>
  </si>
  <si>
    <t xml:space="preserve">Exceptions</t>
  </si>
  <si>
    <t xml:space="preserve">Souhaite-t-on un mécanisme d'exception documentée (une équipe déclare qu'une règle ne s'applique pas à son rapport, avec justification et approbation) ?</t>
  </si>
  <si>
    <t xml:space="preserve">Oui : c'est la seule façon d'éviter que les faux positifs récurrents ne décrédibilisent l'agent.</t>
  </si>
  <si>
    <t xml:space="preserve">Q15</t>
  </si>
  <si>
    <t xml:space="preserve">Traçabilité</t>
  </si>
  <si>
    <t xml:space="preserve">Conserve-t-on la version de l'agent et la version du jeu de règles dans chaque revue, comme pour rule_version_id ?</t>
  </si>
  <si>
    <t xml:space="preserve">Oui, obligatoire : sans cela un score n'est pas reproductible et la comparaison entre deux revues n'a pas de sens.</t>
  </si>
  <si>
    <t xml:space="preserve">Q16</t>
  </si>
  <si>
    <t xml:space="preserve">Interface</t>
  </si>
  <si>
    <t xml:space="preserve">Le bouton « Utiliser l'agent BI » doit-il proposer un mode simulation (analyse et aperçu du remplissage sans écriture) avant application ?</t>
  </si>
  <si>
    <t xml:space="preserve">Oui : aperçu systématique, application sur confirmation explicite, annulation possible en un geste.</t>
  </si>
</sst>
</file>

<file path=xl/styles.xml><?xml version="1.0" encoding="utf-8"?>
<styleSheet xmlns="http://schemas.openxmlformats.org/spreadsheetml/2006/main">
  <numFmts count="3">
    <numFmt numFmtId="164" formatCode="General"/>
    <numFmt numFmtId="165" formatCode="00%"/>
    <numFmt numFmtId="166" formatCode="General"/>
  </numFmts>
  <fonts count="20">
    <font>
      <sz val="11"/>
      <color theme="1"/>
      <name val="Calibri"/>
      <family val="2"/>
      <charset val="1"/>
    </font>
    <font>
      <sz val="10"/>
      <name val="Arial"/>
      <family val="0"/>
    </font>
    <font>
      <sz val="10"/>
      <name val="Arial"/>
      <family val="0"/>
    </font>
    <font>
      <sz val="10"/>
      <name val="Arial"/>
      <family val="0"/>
    </font>
    <font>
      <b val="true"/>
      <sz val="16"/>
      <color rgb="FF322A26"/>
      <name val="Arial"/>
      <family val="0"/>
      <charset val="1"/>
    </font>
    <font>
      <i val="true"/>
      <sz val="10"/>
      <color rgb="FF677DB7"/>
      <name val="Arial"/>
      <family val="0"/>
      <charset val="1"/>
    </font>
    <font>
      <b val="true"/>
      <sz val="13"/>
      <color rgb="FF322A26"/>
      <name val="Arial"/>
      <family val="0"/>
      <charset val="1"/>
    </font>
    <font>
      <b val="true"/>
      <sz val="9"/>
      <name val="Arial"/>
      <family val="0"/>
      <charset val="1"/>
    </font>
    <font>
      <sz val="9"/>
      <name val="Arial"/>
      <family val="0"/>
      <charset val="1"/>
    </font>
    <font>
      <b val="true"/>
      <sz val="10"/>
      <color rgb="FFFFFFFF"/>
      <name val="Arial"/>
      <family val="0"/>
      <charset val="1"/>
    </font>
    <font>
      <b val="true"/>
      <sz val="10"/>
      <color rgb="FF322A26"/>
      <name val="Arial"/>
      <family val="0"/>
      <charset val="1"/>
    </font>
    <font>
      <sz val="8"/>
      <name val="Consolas"/>
      <family val="0"/>
      <charset val="1"/>
    </font>
    <font>
      <b val="true"/>
      <sz val="9"/>
      <color rgb="FF7A736C"/>
      <name val="Arial"/>
      <family val="0"/>
      <charset val="1"/>
    </font>
    <font>
      <b val="true"/>
      <sz val="9"/>
      <color rgb="FFCE6A6B"/>
      <name val="Arial"/>
      <family val="0"/>
      <charset val="1"/>
    </font>
    <font>
      <i val="true"/>
      <sz val="9"/>
      <color rgb="FF677DB7"/>
      <name val="Arial"/>
      <family val="0"/>
      <charset val="1"/>
    </font>
    <font>
      <sz val="9"/>
      <name val="Consolas"/>
      <family val="0"/>
      <charset val="1"/>
    </font>
    <font>
      <b val="true"/>
      <sz val="9"/>
      <color rgb="FF0000FF"/>
      <name val="Arial"/>
      <family val="0"/>
      <charset val="1"/>
    </font>
    <font>
      <i val="true"/>
      <sz val="8"/>
      <name val="Arial"/>
      <family val="0"/>
      <charset val="1"/>
    </font>
    <font>
      <b val="true"/>
      <sz val="11"/>
      <color rgb="FF322A26"/>
      <name val="Arial"/>
      <family val="0"/>
      <charset val="1"/>
    </font>
    <font>
      <i val="true"/>
      <sz val="9"/>
      <name val="Arial"/>
      <family val="0"/>
      <charset val="1"/>
    </font>
  </fonts>
  <fills count="8">
    <fill>
      <patternFill patternType="none"/>
    </fill>
    <fill>
      <patternFill patternType="gray125"/>
    </fill>
    <fill>
      <patternFill patternType="solid">
        <fgColor rgb="FFD8EFD8"/>
        <bgColor rgb="FFE6E9F5"/>
      </patternFill>
    </fill>
    <fill>
      <patternFill patternType="solid">
        <fgColor rgb="FFFFF2CC"/>
        <bgColor rgb="FFFFFFFF"/>
      </patternFill>
    </fill>
    <fill>
      <patternFill patternType="solid">
        <fgColor rgb="FFF8D7D7"/>
        <bgColor rgb="FFE6E9F5"/>
      </patternFill>
    </fill>
    <fill>
      <patternFill patternType="solid">
        <fgColor rgb="FF322A26"/>
        <bgColor rgb="FF333300"/>
      </patternFill>
    </fill>
    <fill>
      <patternFill patternType="solid">
        <fgColor rgb="FFE6E9F5"/>
        <bgColor rgb="FFD8EFD8"/>
      </patternFill>
    </fill>
    <fill>
      <patternFill patternType="solid">
        <fgColor rgb="FFFFFF00"/>
        <bgColor rgb="FFFFFF00"/>
      </patternFill>
    </fill>
  </fills>
  <borders count="2">
    <border diagonalUp="false" diagonalDown="false">
      <left/>
      <right/>
      <top/>
      <bottom/>
      <diagonal/>
    </border>
    <border diagonalUp="false" diagonalDown="false">
      <left style="thin">
        <color rgb="FFD5D2CC"/>
      </left>
      <right style="thin">
        <color rgb="FFD5D2CC"/>
      </right>
      <top style="thin">
        <color rgb="FFD5D2CC"/>
      </top>
      <bottom style="thin">
        <color rgb="FFD5D2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7"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true" applyProtection="false">
      <alignment horizontal="center" vertical="center" textRotation="0" wrapText="true" indent="0" shrinkToFit="false"/>
      <protection locked="true" hidden="false"/>
    </xf>
    <xf numFmtId="165" fontId="7" fillId="6" borderId="1"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0" fillId="7" borderId="1" xfId="0" applyFont="fals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322A26"/>
          <bgColor rgb="FF000000"/>
        </patternFill>
      </fill>
    </dxf>
    <dxf>
      <fill>
        <patternFill patternType="solid">
          <fgColor rgb="FFE6E9F5"/>
          <bgColor rgb="FF000000"/>
        </patternFill>
      </fill>
    </dxf>
    <dxf>
      <fill>
        <patternFill patternType="solid">
          <bgColor rgb="FF000000"/>
        </patternFill>
      </fill>
    </dxf>
    <dxf>
      <fill>
        <patternFill patternType="solid">
          <fgColor rgb="FF7A736C"/>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CE6A6B"/>
          <bgColor rgb="FF000000"/>
        </patternFill>
      </fill>
    </dxf>
    <dxf>
      <fill>
        <patternFill patternType="solid">
          <fgColor rgb="FFD8EFD8"/>
          <bgColor rgb="FF000000"/>
        </patternFill>
      </fill>
    </dxf>
    <dxf>
      <fill>
        <patternFill patternType="solid">
          <fgColor rgb="FFF8D7D7"/>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A736C"/>
      <rgbColor rgb="FF9999FF"/>
      <rgbColor rgb="FF993366"/>
      <rgbColor rgb="FFFFF2CC"/>
      <rgbColor rgb="FFE6E9F5"/>
      <rgbColor rgb="FF660066"/>
      <rgbColor rgb="FFCE6A6B"/>
      <rgbColor rgb="FF0066CC"/>
      <rgbColor rgb="FFD5D2CC"/>
      <rgbColor rgb="FF000080"/>
      <rgbColor rgb="FFFF00FF"/>
      <rgbColor rgb="FFFFFF00"/>
      <rgbColor rgb="FF00FFFF"/>
      <rgbColor rgb="FF800080"/>
      <rgbColor rgb="FF800000"/>
      <rgbColor rgb="FF008080"/>
      <rgbColor rgb="FF0000FF"/>
      <rgbColor rgb="FF00CCFF"/>
      <rgbColor rgb="FFCCFFFF"/>
      <rgbColor rgb="FFD8EFD8"/>
      <rgbColor rgb="FFFFFF99"/>
      <rgbColor rgb="FF99CCFF"/>
      <rgbColor rgb="FFFF99CC"/>
      <rgbColor rgb="FFCC99FF"/>
      <rgbColor rgb="FFF8D7D7"/>
      <rgbColor rgb="FF3366FF"/>
      <rgbColor rgb="FF33CCCC"/>
      <rgbColor rgb="FF99CC00"/>
      <rgbColor rgb="FFFFCC00"/>
      <rgbColor rgb="FFFF9900"/>
      <rgbColor rgb="FFFF6600"/>
      <rgbColor rgb="FF677DB7"/>
      <rgbColor rgb="FF969696"/>
      <rgbColor rgb="FF003366"/>
      <rgbColor rgb="FF339966"/>
      <rgbColor rgb="FF003300"/>
      <rgbColor rgb="FF333300"/>
      <rgbColor rgb="FF993300"/>
      <rgbColor rgb="FF993366"/>
      <rgbColor rgb="FF333399"/>
      <rgbColor rgb="FF322A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08"/>
  </cols>
  <sheetData>
    <row r="2" customFormat="false" ht="19.7" hidden="false" customHeight="false" outlineLevel="0" collapsed="false">
      <c r="B2" s="1" t="s">
        <v>0</v>
      </c>
      <c r="C2" s="1"/>
    </row>
    <row r="3" customFormat="false" ht="15" hidden="false" customHeight="false" outlineLevel="0" collapsed="false">
      <c r="B3" s="2" t="s">
        <v>1</v>
      </c>
      <c r="C3" s="2"/>
    </row>
    <row r="5" customFormat="false" ht="16.15" hidden="false" customHeight="false" outlineLevel="0" collapsed="false">
      <c r="B5" s="3" t="s">
        <v>2</v>
      </c>
      <c r="C5" s="3"/>
    </row>
    <row r="6" customFormat="false" ht="22.35" hidden="false" customHeight="false" outlineLevel="0" collapsed="false">
      <c r="B6" s="4" t="s">
        <v>3</v>
      </c>
      <c r="C6" s="5" t="s">
        <v>4</v>
      </c>
    </row>
    <row r="8" customFormat="false" ht="16.15" hidden="false" customHeight="false" outlineLevel="0" collapsed="false">
      <c r="B8" s="3" t="s">
        <v>5</v>
      </c>
      <c r="C8" s="3"/>
    </row>
    <row r="9" customFormat="false" ht="15" hidden="false" customHeight="false" outlineLevel="0" collapsed="false">
      <c r="B9" s="4" t="s">
        <v>6</v>
      </c>
      <c r="C9" s="5" t="s">
        <v>7</v>
      </c>
    </row>
    <row r="10" customFormat="false" ht="15" hidden="false" customHeight="false" outlineLevel="0" collapsed="false">
      <c r="B10" s="4" t="s">
        <v>8</v>
      </c>
      <c r="C10" s="5" t="s">
        <v>9</v>
      </c>
    </row>
    <row r="11" customFormat="false" ht="15" hidden="false" customHeight="false" outlineLevel="0" collapsed="false">
      <c r="B11" s="4" t="s">
        <v>10</v>
      </c>
      <c r="C11" s="5" t="s">
        <v>11</v>
      </c>
    </row>
    <row r="12" customFormat="false" ht="15" hidden="false" customHeight="false" outlineLevel="0" collapsed="false">
      <c r="B12" s="4" t="s">
        <v>12</v>
      </c>
      <c r="C12" s="5" t="s">
        <v>13</v>
      </c>
    </row>
    <row r="13" customFormat="false" ht="15" hidden="false" customHeight="false" outlineLevel="0" collapsed="false">
      <c r="B13" s="4" t="s">
        <v>14</v>
      </c>
      <c r="C13" s="5" t="s">
        <v>15</v>
      </c>
    </row>
    <row r="15" customFormat="false" ht="16.15" hidden="false" customHeight="false" outlineLevel="0" collapsed="false">
      <c r="B15" s="3" t="s">
        <v>16</v>
      </c>
      <c r="C15" s="3"/>
    </row>
    <row r="16" customFormat="false" ht="15" hidden="false" customHeight="false" outlineLevel="0" collapsed="false">
      <c r="B16" s="6" t="s">
        <v>17</v>
      </c>
      <c r="C16" s="7" t="s">
        <v>18</v>
      </c>
    </row>
    <row r="17" customFormat="false" ht="22.35" hidden="false" customHeight="false" outlineLevel="0" collapsed="false">
      <c r="B17" s="8" t="s">
        <v>19</v>
      </c>
      <c r="C17" s="7" t="s">
        <v>20</v>
      </c>
    </row>
    <row r="18" customFormat="false" ht="22.35" hidden="false" customHeight="false" outlineLevel="0" collapsed="false">
      <c r="B18" s="9" t="s">
        <v>21</v>
      </c>
      <c r="C18" s="7" t="s">
        <v>22</v>
      </c>
    </row>
    <row r="20" customFormat="false" ht="16.15" hidden="false" customHeight="false" outlineLevel="0" collapsed="false">
      <c r="B20" s="3" t="s">
        <v>23</v>
      </c>
      <c r="C20" s="3"/>
    </row>
    <row r="21" customFormat="false" ht="15" hidden="false" customHeight="false" outlineLevel="0" collapsed="false">
      <c r="B21" s="4" t="s">
        <v>24</v>
      </c>
      <c r="C21" s="5" t="s">
        <v>25</v>
      </c>
    </row>
    <row r="22" customFormat="false" ht="15" hidden="false" customHeight="false" outlineLevel="0" collapsed="false">
      <c r="B22" s="4" t="s">
        <v>26</v>
      </c>
      <c r="C22" s="5" t="s">
        <v>27</v>
      </c>
    </row>
    <row r="23" customFormat="false" ht="15" hidden="false" customHeight="false" outlineLevel="0" collapsed="false">
      <c r="B23" s="4" t="s">
        <v>28</v>
      </c>
      <c r="C23" s="5" t="s">
        <v>29</v>
      </c>
    </row>
    <row r="24" customFormat="false" ht="15" hidden="false" customHeight="false" outlineLevel="0" collapsed="false">
      <c r="B24" s="4" t="s">
        <v>30</v>
      </c>
      <c r="C24" s="5" t="s">
        <v>31</v>
      </c>
    </row>
    <row r="25" customFormat="false" ht="15" hidden="false" customHeight="false" outlineLevel="0" collapsed="false">
      <c r="B25" s="4" t="s">
        <v>32</v>
      </c>
      <c r="C25" s="5" t="s">
        <v>33</v>
      </c>
    </row>
    <row r="27" customFormat="false" ht="16.15" hidden="false" customHeight="false" outlineLevel="0" collapsed="false">
      <c r="B27" s="3" t="s">
        <v>34</v>
      </c>
      <c r="C27" s="3"/>
    </row>
    <row r="28" customFormat="false" ht="22.35" hidden="false" customHeight="false" outlineLevel="0" collapsed="false">
      <c r="B28" s="4" t="s">
        <v>35</v>
      </c>
      <c r="C28" s="5" t="s">
        <v>36</v>
      </c>
    </row>
    <row r="30" customFormat="false" ht="16.15" hidden="false" customHeight="false" outlineLevel="0" collapsed="false">
      <c r="B30" s="3" t="s">
        <v>37</v>
      </c>
      <c r="C30" s="3"/>
    </row>
    <row r="31" customFormat="false" ht="22.35" hidden="false" customHeight="false" outlineLevel="0" collapsed="false">
      <c r="B31" s="4" t="s">
        <v>38</v>
      </c>
      <c r="C31" s="5" t="s">
        <v>39</v>
      </c>
    </row>
    <row r="32" customFormat="false" ht="22.35" hidden="false" customHeight="false" outlineLevel="0" collapsed="false">
      <c r="B32" s="4" t="s">
        <v>40</v>
      </c>
      <c r="C32" s="5" t="s">
        <v>41</v>
      </c>
    </row>
  </sheetData>
  <mergeCells count="8">
    <mergeCell ref="B2:C2"/>
    <mergeCell ref="B3:C3"/>
    <mergeCell ref="B5:C5"/>
    <mergeCell ref="B8:C8"/>
    <mergeCell ref="B15:C15"/>
    <mergeCell ref="B20:C20"/>
    <mergeCell ref="B27:C27"/>
    <mergeCell ref="B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2"/>
    <col collapsed="false" customWidth="true" hidden="false" outlineLevel="0" max="4" min="4" style="0" width="11"/>
    <col collapsed="false" customWidth="true" hidden="false" outlineLevel="0" max="5" min="5" style="0" width="46"/>
    <col collapsed="false" customWidth="true" hidden="false" outlineLevel="0" max="6" min="6" style="0" width="12"/>
    <col collapsed="false" customWidth="true" hidden="false" outlineLevel="0" max="7" min="7" style="0" width="8"/>
    <col collapsed="false" customWidth="true" hidden="false" outlineLevel="0" max="8" min="8" style="0" width="26"/>
    <col collapsed="false" customWidth="true" hidden="false" outlineLevel="0" max="9" min="9" style="0" width="24"/>
    <col collapsed="false" customWidth="true" hidden="false" outlineLevel="0" max="10" min="10" style="0" width="30"/>
    <col collapsed="false" customWidth="true" hidden="false" outlineLevel="0" max="11" min="11" style="0" width="92"/>
    <col collapsed="false" customWidth="true" hidden="false" outlineLevel="0" max="12" min="12" style="0" width="34"/>
    <col collapsed="false" customWidth="true" hidden="false" outlineLevel="0" max="13" min="13" style="0" width="20"/>
    <col collapsed="false" customWidth="true" hidden="false" outlineLevel="0" max="14" min="14" style="0" width="10"/>
    <col collapsed="false" customWidth="true" hidden="false" outlineLevel="0" max="15" min="15" style="0" width="32"/>
    <col collapsed="false" customWidth="true" hidden="false" outlineLevel="0" max="16" min="16" style="0" width="38"/>
    <col collapsed="false" customWidth="true" hidden="false" outlineLevel="0" max="17" min="17" style="0" width="32"/>
    <col collapsed="false" customWidth="true" hidden="false" outlineLevel="0" max="18" min="18" style="0" width="22"/>
  </cols>
  <sheetData>
    <row r="1" customFormat="false" ht="21.75" hidden="false" customHeight="true" outlineLevel="0" collapsed="false">
      <c r="A1" s="3" t="s">
        <v>42</v>
      </c>
      <c r="B1" s="3"/>
      <c r="C1" s="3"/>
      <c r="D1" s="3"/>
      <c r="E1" s="3"/>
      <c r="F1" s="3"/>
      <c r="G1" s="3"/>
      <c r="H1" s="3"/>
      <c r="I1" s="3"/>
      <c r="J1" s="3"/>
      <c r="K1" s="3"/>
      <c r="L1" s="3"/>
      <c r="M1" s="3"/>
      <c r="N1" s="3"/>
      <c r="O1" s="3"/>
      <c r="P1" s="3"/>
      <c r="Q1" s="3"/>
      <c r="R1" s="3"/>
    </row>
    <row r="2" customFormat="false" ht="33.75" hidden="false" customHeight="true" outlineLevel="0" collapsed="false">
      <c r="A2" s="10" t="s">
        <v>43</v>
      </c>
      <c r="B2" s="10" t="s">
        <v>44</v>
      </c>
      <c r="C2" s="10" t="s">
        <v>45</v>
      </c>
      <c r="D2" s="10" t="s">
        <v>46</v>
      </c>
      <c r="E2" s="10" t="s">
        <v>47</v>
      </c>
      <c r="F2" s="10" t="s">
        <v>48</v>
      </c>
      <c r="G2" s="10" t="s">
        <v>49</v>
      </c>
      <c r="H2" s="10" t="s">
        <v>50</v>
      </c>
      <c r="I2" s="10" t="s">
        <v>51</v>
      </c>
      <c r="J2" s="10" t="s">
        <v>52</v>
      </c>
      <c r="K2" s="10" t="s">
        <v>53</v>
      </c>
      <c r="L2" s="10" t="s">
        <v>54</v>
      </c>
      <c r="M2" s="10" t="s">
        <v>55</v>
      </c>
      <c r="N2" s="10" t="s">
        <v>56</v>
      </c>
      <c r="O2" s="10" t="s">
        <v>57</v>
      </c>
      <c r="P2" s="10" t="s">
        <v>58</v>
      </c>
      <c r="Q2" s="10" t="s">
        <v>59</v>
      </c>
      <c r="R2" s="10" t="s">
        <v>60</v>
      </c>
    </row>
    <row r="3" customFormat="false" ht="18" hidden="false" customHeight="true" outlineLevel="0" collapsed="false">
      <c r="A3" s="11" t="s">
        <v>61</v>
      </c>
      <c r="B3" s="11"/>
      <c r="C3" s="11"/>
      <c r="D3" s="11"/>
      <c r="E3" s="11"/>
      <c r="F3" s="11"/>
      <c r="G3" s="11"/>
      <c r="H3" s="11"/>
      <c r="I3" s="11"/>
      <c r="J3" s="11"/>
      <c r="K3" s="11"/>
      <c r="L3" s="11"/>
      <c r="M3" s="11"/>
      <c r="N3" s="11"/>
      <c r="O3" s="11"/>
      <c r="P3" s="11"/>
      <c r="Q3" s="11"/>
      <c r="R3" s="11"/>
    </row>
    <row r="4" customFormat="false" ht="103.5" hidden="false" customHeight="true" outlineLevel="0" collapsed="false">
      <c r="A4" s="12" t="s">
        <v>62</v>
      </c>
      <c r="B4" s="7" t="s">
        <v>63</v>
      </c>
      <c r="C4" s="7" t="s">
        <v>64</v>
      </c>
      <c r="D4" s="7"/>
      <c r="E4" s="7" t="s">
        <v>65</v>
      </c>
      <c r="F4" s="7" t="s">
        <v>66</v>
      </c>
      <c r="G4" s="13" t="s">
        <v>67</v>
      </c>
      <c r="H4" s="7" t="s">
        <v>68</v>
      </c>
      <c r="I4" s="7" t="s">
        <v>69</v>
      </c>
      <c r="J4" s="7" t="s">
        <v>70</v>
      </c>
      <c r="K4" s="14" t="s">
        <v>71</v>
      </c>
      <c r="L4" s="7" t="s">
        <v>72</v>
      </c>
      <c r="M4" s="7" t="s">
        <v>73</v>
      </c>
      <c r="N4" s="15" t="s">
        <v>74</v>
      </c>
      <c r="O4" s="7" t="s">
        <v>75</v>
      </c>
      <c r="P4" s="7" t="s">
        <v>76</v>
      </c>
      <c r="Q4" s="7" t="s">
        <v>77</v>
      </c>
      <c r="R4" s="7" t="s">
        <v>78</v>
      </c>
    </row>
    <row r="5" customFormat="false" ht="69" hidden="false" customHeight="true" outlineLevel="0" collapsed="false">
      <c r="A5" s="16" t="s">
        <v>79</v>
      </c>
      <c r="B5" s="7" t="s">
        <v>63</v>
      </c>
      <c r="C5" s="7" t="s">
        <v>80</v>
      </c>
      <c r="D5" s="7" t="s">
        <v>62</v>
      </c>
      <c r="E5" s="7" t="s">
        <v>81</v>
      </c>
      <c r="F5" s="7" t="s">
        <v>66</v>
      </c>
      <c r="G5" s="17" t="s">
        <v>82</v>
      </c>
      <c r="H5" s="7" t="s">
        <v>68</v>
      </c>
      <c r="I5" s="7" t="s">
        <v>83</v>
      </c>
      <c r="J5" s="7" t="s">
        <v>84</v>
      </c>
      <c r="K5" s="14" t="s">
        <v>85</v>
      </c>
      <c r="L5" s="7" t="s">
        <v>86</v>
      </c>
      <c r="M5" s="7" t="s">
        <v>87</v>
      </c>
      <c r="N5" s="15" t="s">
        <v>88</v>
      </c>
      <c r="O5" s="7" t="s">
        <v>89</v>
      </c>
      <c r="P5" s="7" t="s">
        <v>90</v>
      </c>
      <c r="Q5" s="7" t="s">
        <v>91</v>
      </c>
      <c r="R5" s="7" t="s">
        <v>92</v>
      </c>
    </row>
    <row r="6" customFormat="false" ht="69" hidden="false" customHeight="true" outlineLevel="0" collapsed="false">
      <c r="A6" s="16" t="s">
        <v>93</v>
      </c>
      <c r="B6" s="7" t="s">
        <v>63</v>
      </c>
      <c r="C6" s="7" t="s">
        <v>80</v>
      </c>
      <c r="D6" s="7" t="s">
        <v>62</v>
      </c>
      <c r="E6" s="7" t="s">
        <v>94</v>
      </c>
      <c r="F6" s="7" t="s">
        <v>66</v>
      </c>
      <c r="G6" s="17" t="s">
        <v>82</v>
      </c>
      <c r="H6" s="7" t="s">
        <v>68</v>
      </c>
      <c r="I6" s="7" t="s">
        <v>95</v>
      </c>
      <c r="J6" s="7" t="s">
        <v>96</v>
      </c>
      <c r="K6" s="14" t="s">
        <v>97</v>
      </c>
      <c r="L6" s="7" t="s">
        <v>98</v>
      </c>
      <c r="M6" s="7" t="s">
        <v>73</v>
      </c>
      <c r="N6" s="15" t="s">
        <v>99</v>
      </c>
      <c r="O6" s="7" t="s">
        <v>100</v>
      </c>
      <c r="P6" s="7" t="s">
        <v>101</v>
      </c>
      <c r="Q6" s="7" t="s">
        <v>102</v>
      </c>
      <c r="R6" s="7" t="s">
        <v>92</v>
      </c>
    </row>
    <row r="7" customFormat="false" ht="69" hidden="false" customHeight="true" outlineLevel="0" collapsed="false">
      <c r="A7" s="12" t="s">
        <v>103</v>
      </c>
      <c r="B7" s="7" t="s">
        <v>63</v>
      </c>
      <c r="C7" s="7" t="s">
        <v>64</v>
      </c>
      <c r="D7" s="7"/>
      <c r="E7" s="7" t="s">
        <v>104</v>
      </c>
      <c r="F7" s="7" t="s">
        <v>66</v>
      </c>
      <c r="G7" s="17" t="s">
        <v>82</v>
      </c>
      <c r="H7" s="7" t="s">
        <v>105</v>
      </c>
      <c r="I7" s="7" t="s">
        <v>106</v>
      </c>
      <c r="J7" s="7" t="s">
        <v>107</v>
      </c>
      <c r="K7" s="14" t="s">
        <v>108</v>
      </c>
      <c r="L7" s="7" t="s">
        <v>109</v>
      </c>
      <c r="M7" s="7" t="s">
        <v>87</v>
      </c>
      <c r="N7" s="15" t="s">
        <v>110</v>
      </c>
      <c r="O7" s="7" t="s">
        <v>111</v>
      </c>
      <c r="P7" s="7" t="s">
        <v>112</v>
      </c>
      <c r="Q7" s="7" t="s">
        <v>113</v>
      </c>
      <c r="R7" s="7" t="s">
        <v>114</v>
      </c>
    </row>
    <row r="8" customFormat="false" ht="69" hidden="false" customHeight="true" outlineLevel="0" collapsed="false">
      <c r="A8" s="16" t="s">
        <v>115</v>
      </c>
      <c r="B8" s="7" t="s">
        <v>63</v>
      </c>
      <c r="C8" s="7" t="s">
        <v>80</v>
      </c>
      <c r="D8" s="7" t="s">
        <v>103</v>
      </c>
      <c r="E8" s="7" t="s">
        <v>116</v>
      </c>
      <c r="F8" s="7" t="s">
        <v>66</v>
      </c>
      <c r="G8" s="17" t="s">
        <v>82</v>
      </c>
      <c r="H8" s="7" t="s">
        <v>105</v>
      </c>
      <c r="I8" s="7" t="s">
        <v>117</v>
      </c>
      <c r="J8" s="7" t="s">
        <v>118</v>
      </c>
      <c r="K8" s="14" t="s">
        <v>119</v>
      </c>
      <c r="L8" s="7" t="s">
        <v>120</v>
      </c>
      <c r="M8" s="7" t="s">
        <v>87</v>
      </c>
      <c r="N8" s="15" t="s">
        <v>110</v>
      </c>
      <c r="O8" s="7" t="s">
        <v>121</v>
      </c>
      <c r="P8" s="7" t="s">
        <v>122</v>
      </c>
      <c r="Q8" s="7" t="s">
        <v>123</v>
      </c>
      <c r="R8" s="7" t="s">
        <v>124</v>
      </c>
    </row>
    <row r="9" customFormat="false" ht="91.5" hidden="false" customHeight="true" outlineLevel="0" collapsed="false">
      <c r="A9" s="12" t="s">
        <v>125</v>
      </c>
      <c r="B9" s="7" t="s">
        <v>63</v>
      </c>
      <c r="C9" s="7" t="s">
        <v>64</v>
      </c>
      <c r="D9" s="7"/>
      <c r="E9" s="7" t="s">
        <v>126</v>
      </c>
      <c r="F9" s="7" t="s">
        <v>66</v>
      </c>
      <c r="G9" s="13" t="s">
        <v>67</v>
      </c>
      <c r="H9" s="7" t="s">
        <v>127</v>
      </c>
      <c r="I9" s="7" t="s">
        <v>128</v>
      </c>
      <c r="J9" s="7" t="s">
        <v>129</v>
      </c>
      <c r="K9" s="14" t="s">
        <v>130</v>
      </c>
      <c r="L9" s="7" t="s">
        <v>131</v>
      </c>
      <c r="M9" s="7" t="s">
        <v>73</v>
      </c>
      <c r="N9" s="15" t="s">
        <v>132</v>
      </c>
      <c r="O9" s="7" t="s">
        <v>133</v>
      </c>
      <c r="P9" s="7" t="s">
        <v>134</v>
      </c>
      <c r="Q9" s="7" t="s">
        <v>135</v>
      </c>
      <c r="R9" s="7" t="s">
        <v>136</v>
      </c>
    </row>
    <row r="10" customFormat="false" ht="69" hidden="false" customHeight="true" outlineLevel="0" collapsed="false">
      <c r="A10" s="12" t="s">
        <v>137</v>
      </c>
      <c r="B10" s="7" t="s">
        <v>63</v>
      </c>
      <c r="C10" s="7" t="s">
        <v>64</v>
      </c>
      <c r="D10" s="7"/>
      <c r="E10" s="7" t="s">
        <v>138</v>
      </c>
      <c r="F10" s="7" t="s">
        <v>66</v>
      </c>
      <c r="G10" s="17" t="s">
        <v>82</v>
      </c>
      <c r="H10" s="7" t="s">
        <v>68</v>
      </c>
      <c r="I10" s="7" t="s">
        <v>139</v>
      </c>
      <c r="J10" s="7" t="s">
        <v>140</v>
      </c>
      <c r="K10" s="14" t="s">
        <v>141</v>
      </c>
      <c r="L10" s="7" t="s">
        <v>142</v>
      </c>
      <c r="M10" s="7" t="s">
        <v>87</v>
      </c>
      <c r="N10" s="15" t="s">
        <v>110</v>
      </c>
      <c r="O10" s="7" t="s">
        <v>143</v>
      </c>
      <c r="P10" s="7" t="s">
        <v>144</v>
      </c>
      <c r="Q10" s="7" t="s">
        <v>145</v>
      </c>
      <c r="R10" s="7" t="s">
        <v>146</v>
      </c>
    </row>
    <row r="11" customFormat="false" ht="69" hidden="false" customHeight="true" outlineLevel="0" collapsed="false">
      <c r="A11" s="16" t="s">
        <v>147</v>
      </c>
      <c r="B11" s="7" t="s">
        <v>63</v>
      </c>
      <c r="C11" s="7" t="s">
        <v>80</v>
      </c>
      <c r="D11" s="7" t="s">
        <v>137</v>
      </c>
      <c r="E11" s="7" t="s">
        <v>148</v>
      </c>
      <c r="F11" s="7" t="s">
        <v>66</v>
      </c>
      <c r="G11" s="17" t="s">
        <v>82</v>
      </c>
      <c r="H11" s="7" t="s">
        <v>68</v>
      </c>
      <c r="I11" s="7" t="s">
        <v>149</v>
      </c>
      <c r="J11" s="7" t="s">
        <v>150</v>
      </c>
      <c r="K11" s="14" t="s">
        <v>151</v>
      </c>
      <c r="L11" s="7" t="s">
        <v>152</v>
      </c>
      <c r="M11" s="7" t="s">
        <v>87</v>
      </c>
      <c r="N11" s="15" t="s">
        <v>88</v>
      </c>
      <c r="O11" s="7" t="s">
        <v>153</v>
      </c>
      <c r="P11" s="7" t="s">
        <v>154</v>
      </c>
      <c r="Q11" s="7" t="s">
        <v>155</v>
      </c>
      <c r="R11" s="7" t="s">
        <v>92</v>
      </c>
    </row>
    <row r="12" customFormat="false" ht="69" hidden="false" customHeight="true" outlineLevel="0" collapsed="false">
      <c r="A12" s="16" t="s">
        <v>156</v>
      </c>
      <c r="B12" s="7" t="s">
        <v>63</v>
      </c>
      <c r="C12" s="7" t="s">
        <v>80</v>
      </c>
      <c r="D12" s="7" t="s">
        <v>137</v>
      </c>
      <c r="E12" s="7" t="s">
        <v>157</v>
      </c>
      <c r="F12" s="7" t="s">
        <v>66</v>
      </c>
      <c r="G12" s="17" t="s">
        <v>82</v>
      </c>
      <c r="H12" s="7" t="s">
        <v>68</v>
      </c>
      <c r="I12" s="7" t="s">
        <v>158</v>
      </c>
      <c r="J12" s="7" t="s">
        <v>159</v>
      </c>
      <c r="K12" s="14" t="s">
        <v>160</v>
      </c>
      <c r="L12" s="7" t="s">
        <v>161</v>
      </c>
      <c r="M12" s="7" t="s">
        <v>87</v>
      </c>
      <c r="N12" s="15" t="s">
        <v>88</v>
      </c>
      <c r="O12" s="7" t="s">
        <v>162</v>
      </c>
      <c r="P12" s="7" t="s">
        <v>163</v>
      </c>
      <c r="Q12" s="7" t="s">
        <v>164</v>
      </c>
      <c r="R12" s="7" t="s">
        <v>92</v>
      </c>
    </row>
    <row r="13" customFormat="false" ht="69" hidden="false" customHeight="true" outlineLevel="0" collapsed="false">
      <c r="A13" s="16" t="s">
        <v>165</v>
      </c>
      <c r="B13" s="7" t="s">
        <v>63</v>
      </c>
      <c r="C13" s="7" t="s">
        <v>80</v>
      </c>
      <c r="D13" s="7" t="s">
        <v>137</v>
      </c>
      <c r="E13" s="7" t="s">
        <v>166</v>
      </c>
      <c r="F13" s="7" t="s">
        <v>66</v>
      </c>
      <c r="G13" s="17" t="s">
        <v>82</v>
      </c>
      <c r="H13" s="7" t="s">
        <v>68</v>
      </c>
      <c r="I13" s="7" t="s">
        <v>167</v>
      </c>
      <c r="J13" s="7" t="s">
        <v>168</v>
      </c>
      <c r="K13" s="14" t="s">
        <v>169</v>
      </c>
      <c r="L13" s="7" t="s">
        <v>170</v>
      </c>
      <c r="M13" s="7" t="s">
        <v>87</v>
      </c>
      <c r="N13" s="15" t="s">
        <v>88</v>
      </c>
      <c r="O13" s="7" t="s">
        <v>171</v>
      </c>
      <c r="P13" s="7" t="s">
        <v>172</v>
      </c>
      <c r="Q13" s="7" t="s">
        <v>173</v>
      </c>
      <c r="R13" s="7" t="s">
        <v>92</v>
      </c>
    </row>
    <row r="14" customFormat="false" ht="69" hidden="false" customHeight="true" outlineLevel="0" collapsed="false">
      <c r="A14" s="12" t="s">
        <v>174</v>
      </c>
      <c r="B14" s="7" t="s">
        <v>63</v>
      </c>
      <c r="C14" s="7" t="s">
        <v>64</v>
      </c>
      <c r="D14" s="7"/>
      <c r="E14" s="7" t="s">
        <v>175</v>
      </c>
      <c r="F14" s="18" t="s">
        <v>176</v>
      </c>
      <c r="G14" s="17" t="s">
        <v>82</v>
      </c>
      <c r="H14" s="7" t="s">
        <v>177</v>
      </c>
      <c r="I14" s="7" t="s">
        <v>178</v>
      </c>
      <c r="J14" s="7" t="s">
        <v>179</v>
      </c>
      <c r="K14" s="14" t="s">
        <v>180</v>
      </c>
      <c r="L14" s="7" t="s">
        <v>181</v>
      </c>
      <c r="M14" s="7" t="s">
        <v>182</v>
      </c>
      <c r="N14" s="15" t="s">
        <v>88</v>
      </c>
      <c r="O14" s="7" t="s">
        <v>183</v>
      </c>
      <c r="P14" s="7" t="s">
        <v>184</v>
      </c>
      <c r="Q14" s="7" t="s">
        <v>185</v>
      </c>
      <c r="R14" s="7" t="s">
        <v>186</v>
      </c>
    </row>
    <row r="15" customFormat="false" ht="69" hidden="false" customHeight="true" outlineLevel="0" collapsed="false">
      <c r="A15" s="12" t="s">
        <v>187</v>
      </c>
      <c r="B15" s="7" t="s">
        <v>63</v>
      </c>
      <c r="C15" s="7" t="s">
        <v>64</v>
      </c>
      <c r="D15" s="7"/>
      <c r="E15" s="7" t="s">
        <v>188</v>
      </c>
      <c r="F15" s="18" t="s">
        <v>176</v>
      </c>
      <c r="G15" s="13" t="s">
        <v>67</v>
      </c>
      <c r="H15" s="7" t="s">
        <v>189</v>
      </c>
      <c r="I15" s="7" t="s">
        <v>190</v>
      </c>
      <c r="J15" s="7" t="s">
        <v>191</v>
      </c>
      <c r="K15" s="14" t="s">
        <v>192</v>
      </c>
      <c r="L15" s="7" t="s">
        <v>193</v>
      </c>
      <c r="M15" s="7" t="s">
        <v>194</v>
      </c>
      <c r="N15" s="15" t="s">
        <v>195</v>
      </c>
      <c r="O15" s="7" t="s">
        <v>196</v>
      </c>
      <c r="P15" s="7" t="s">
        <v>197</v>
      </c>
      <c r="Q15" s="7" t="s">
        <v>198</v>
      </c>
      <c r="R15" s="7" t="s">
        <v>199</v>
      </c>
    </row>
    <row r="16" customFormat="false" ht="69" hidden="false" customHeight="true" outlineLevel="0" collapsed="false">
      <c r="A16" s="12" t="s">
        <v>200</v>
      </c>
      <c r="B16" s="7" t="s">
        <v>63</v>
      </c>
      <c r="C16" s="7" t="s">
        <v>64</v>
      </c>
      <c r="D16" s="7"/>
      <c r="E16" s="7" t="s">
        <v>201</v>
      </c>
      <c r="F16" s="18" t="s">
        <v>176</v>
      </c>
      <c r="G16" s="13" t="s">
        <v>67</v>
      </c>
      <c r="H16" s="7" t="s">
        <v>202</v>
      </c>
      <c r="I16" s="7" t="s">
        <v>203</v>
      </c>
      <c r="J16" s="7" t="s">
        <v>204</v>
      </c>
      <c r="K16" s="14" t="s">
        <v>205</v>
      </c>
      <c r="L16" s="7" t="s">
        <v>206</v>
      </c>
      <c r="M16" s="7" t="s">
        <v>87</v>
      </c>
      <c r="N16" s="15" t="s">
        <v>207</v>
      </c>
      <c r="O16" s="7" t="s">
        <v>208</v>
      </c>
      <c r="P16" s="7" t="s">
        <v>209</v>
      </c>
      <c r="Q16" s="7" t="s">
        <v>210</v>
      </c>
      <c r="R16" s="7" t="s">
        <v>92</v>
      </c>
    </row>
    <row r="17" customFormat="false" ht="69" hidden="false" customHeight="true" outlineLevel="0" collapsed="false">
      <c r="A17" s="12" t="s">
        <v>211</v>
      </c>
      <c r="B17" s="7" t="s">
        <v>63</v>
      </c>
      <c r="C17" s="7" t="s">
        <v>64</v>
      </c>
      <c r="D17" s="7"/>
      <c r="E17" s="7" t="s">
        <v>212</v>
      </c>
      <c r="F17" s="7" t="s">
        <v>66</v>
      </c>
      <c r="G17" s="17" t="s">
        <v>82</v>
      </c>
      <c r="H17" s="7" t="s">
        <v>68</v>
      </c>
      <c r="I17" s="7" t="s">
        <v>213</v>
      </c>
      <c r="J17" s="7" t="s">
        <v>214</v>
      </c>
      <c r="K17" s="14" t="s">
        <v>215</v>
      </c>
      <c r="L17" s="7" t="s">
        <v>216</v>
      </c>
      <c r="M17" s="7" t="s">
        <v>87</v>
      </c>
      <c r="N17" s="15" t="s">
        <v>99</v>
      </c>
      <c r="O17" s="7" t="s">
        <v>217</v>
      </c>
      <c r="P17" s="7" t="s">
        <v>218</v>
      </c>
      <c r="Q17" s="7" t="s">
        <v>219</v>
      </c>
      <c r="R17" s="7" t="s">
        <v>92</v>
      </c>
    </row>
    <row r="18" customFormat="false" ht="18" hidden="false" customHeight="true" outlineLevel="0" collapsed="false">
      <c r="A18" s="11" t="s">
        <v>220</v>
      </c>
      <c r="B18" s="11"/>
      <c r="C18" s="11"/>
      <c r="D18" s="11"/>
      <c r="E18" s="11"/>
      <c r="F18" s="11"/>
      <c r="G18" s="11"/>
      <c r="H18" s="11"/>
      <c r="I18" s="11"/>
      <c r="J18" s="11"/>
      <c r="K18" s="11"/>
      <c r="L18" s="11"/>
      <c r="M18" s="11"/>
      <c r="N18" s="11"/>
      <c r="O18" s="11"/>
      <c r="P18" s="11"/>
      <c r="Q18" s="11"/>
      <c r="R18" s="11"/>
    </row>
    <row r="19" customFormat="false" ht="69" hidden="false" customHeight="true" outlineLevel="0" collapsed="false">
      <c r="A19" s="12" t="s">
        <v>221</v>
      </c>
      <c r="B19" s="7" t="s">
        <v>222</v>
      </c>
      <c r="C19" s="7" t="s">
        <v>64</v>
      </c>
      <c r="D19" s="7"/>
      <c r="E19" s="7" t="s">
        <v>223</v>
      </c>
      <c r="F19" s="18" t="s">
        <v>176</v>
      </c>
      <c r="G19" s="17" t="s">
        <v>82</v>
      </c>
      <c r="H19" s="7" t="s">
        <v>224</v>
      </c>
      <c r="I19" s="7" t="s">
        <v>225</v>
      </c>
      <c r="J19" s="7" t="s">
        <v>226</v>
      </c>
      <c r="K19" s="14" t="s">
        <v>227</v>
      </c>
      <c r="L19" s="7" t="s">
        <v>228</v>
      </c>
      <c r="M19" s="7" t="s">
        <v>182</v>
      </c>
      <c r="N19" s="15" t="s">
        <v>88</v>
      </c>
      <c r="O19" s="7" t="s">
        <v>229</v>
      </c>
      <c r="P19" s="7" t="s">
        <v>230</v>
      </c>
      <c r="Q19" s="7" t="s">
        <v>231</v>
      </c>
      <c r="R19" s="7" t="s">
        <v>232</v>
      </c>
    </row>
    <row r="20" customFormat="false" ht="69" hidden="false" customHeight="true" outlineLevel="0" collapsed="false">
      <c r="A20" s="12" t="s">
        <v>233</v>
      </c>
      <c r="B20" s="7" t="s">
        <v>222</v>
      </c>
      <c r="C20" s="7" t="s">
        <v>64</v>
      </c>
      <c r="D20" s="7"/>
      <c r="E20" s="7" t="s">
        <v>234</v>
      </c>
      <c r="F20" s="18" t="s">
        <v>176</v>
      </c>
      <c r="G20" s="17" t="s">
        <v>82</v>
      </c>
      <c r="H20" s="7" t="s">
        <v>224</v>
      </c>
      <c r="I20" s="7" t="s">
        <v>235</v>
      </c>
      <c r="J20" s="7" t="s">
        <v>236</v>
      </c>
      <c r="K20" s="14" t="s">
        <v>237</v>
      </c>
      <c r="L20" s="7" t="s">
        <v>238</v>
      </c>
      <c r="M20" s="7" t="s">
        <v>239</v>
      </c>
      <c r="N20" s="15" t="s">
        <v>240</v>
      </c>
      <c r="O20" s="7" t="s">
        <v>241</v>
      </c>
      <c r="P20" s="7" t="s">
        <v>242</v>
      </c>
      <c r="Q20" s="7" t="s">
        <v>243</v>
      </c>
      <c r="R20" s="7" t="s">
        <v>124</v>
      </c>
    </row>
    <row r="21" customFormat="false" ht="69" hidden="false" customHeight="true" outlineLevel="0" collapsed="false">
      <c r="A21" s="12" t="s">
        <v>244</v>
      </c>
      <c r="B21" s="7" t="s">
        <v>222</v>
      </c>
      <c r="C21" s="7" t="s">
        <v>64</v>
      </c>
      <c r="D21" s="7"/>
      <c r="E21" s="7" t="s">
        <v>245</v>
      </c>
      <c r="F21" s="18" t="s">
        <v>176</v>
      </c>
      <c r="G21" s="17" t="s">
        <v>82</v>
      </c>
      <c r="H21" s="7" t="s">
        <v>246</v>
      </c>
      <c r="I21" s="7" t="s">
        <v>247</v>
      </c>
      <c r="J21" s="7" t="s">
        <v>236</v>
      </c>
      <c r="K21" s="14" t="s">
        <v>248</v>
      </c>
      <c r="L21" s="7" t="s">
        <v>249</v>
      </c>
      <c r="M21" s="7" t="s">
        <v>87</v>
      </c>
      <c r="N21" s="15" t="s">
        <v>99</v>
      </c>
      <c r="O21" s="7" t="s">
        <v>250</v>
      </c>
      <c r="P21" s="7" t="s">
        <v>251</v>
      </c>
      <c r="Q21" s="7" t="s">
        <v>252</v>
      </c>
      <c r="R21" s="7" t="s">
        <v>253</v>
      </c>
    </row>
    <row r="22" customFormat="false" ht="69" hidden="false" customHeight="true" outlineLevel="0" collapsed="false">
      <c r="A22" s="16" t="s">
        <v>254</v>
      </c>
      <c r="B22" s="7" t="s">
        <v>222</v>
      </c>
      <c r="C22" s="7" t="s">
        <v>80</v>
      </c>
      <c r="D22" s="7" t="s">
        <v>244</v>
      </c>
      <c r="E22" s="7" t="s">
        <v>255</v>
      </c>
      <c r="F22" s="18" t="s">
        <v>176</v>
      </c>
      <c r="G22" s="17" t="s">
        <v>82</v>
      </c>
      <c r="H22" s="7" t="s">
        <v>256</v>
      </c>
      <c r="I22" s="7" t="s">
        <v>257</v>
      </c>
      <c r="J22" s="7" t="s">
        <v>258</v>
      </c>
      <c r="K22" s="14" t="s">
        <v>259</v>
      </c>
      <c r="L22" s="7" t="s">
        <v>260</v>
      </c>
      <c r="M22" s="7" t="s">
        <v>261</v>
      </c>
      <c r="N22" s="15" t="s">
        <v>88</v>
      </c>
      <c r="O22" s="7" t="s">
        <v>262</v>
      </c>
      <c r="P22" s="7" t="s">
        <v>263</v>
      </c>
      <c r="Q22" s="7" t="s">
        <v>264</v>
      </c>
      <c r="R22" s="7" t="s">
        <v>265</v>
      </c>
    </row>
    <row r="23" customFormat="false" ht="69" hidden="false" customHeight="true" outlineLevel="0" collapsed="false">
      <c r="A23" s="12" t="s">
        <v>266</v>
      </c>
      <c r="B23" s="7" t="s">
        <v>222</v>
      </c>
      <c r="C23" s="7" t="s">
        <v>64</v>
      </c>
      <c r="D23" s="7"/>
      <c r="E23" s="7" t="s">
        <v>267</v>
      </c>
      <c r="F23" s="18" t="s">
        <v>176</v>
      </c>
      <c r="G23" s="17" t="s">
        <v>82</v>
      </c>
      <c r="H23" s="7" t="s">
        <v>268</v>
      </c>
      <c r="I23" s="7" t="s">
        <v>269</v>
      </c>
      <c r="J23" s="7" t="s">
        <v>270</v>
      </c>
      <c r="K23" s="14" t="s">
        <v>271</v>
      </c>
      <c r="L23" s="7" t="s">
        <v>272</v>
      </c>
      <c r="M23" s="7" t="s">
        <v>182</v>
      </c>
      <c r="N23" s="15" t="s">
        <v>88</v>
      </c>
      <c r="O23" s="7" t="s">
        <v>273</v>
      </c>
      <c r="P23" s="7" t="s">
        <v>274</v>
      </c>
      <c r="Q23" s="7" t="s">
        <v>275</v>
      </c>
      <c r="R23" s="7" t="s">
        <v>276</v>
      </c>
    </row>
    <row r="24" customFormat="false" ht="69" hidden="false" customHeight="true" outlineLevel="0" collapsed="false">
      <c r="A24" s="16" t="s">
        <v>277</v>
      </c>
      <c r="B24" s="7" t="s">
        <v>222</v>
      </c>
      <c r="C24" s="7" t="s">
        <v>80</v>
      </c>
      <c r="D24" s="7" t="s">
        <v>266</v>
      </c>
      <c r="E24" s="7" t="s">
        <v>278</v>
      </c>
      <c r="F24" s="18" t="s">
        <v>176</v>
      </c>
      <c r="G24" s="17" t="s">
        <v>82</v>
      </c>
      <c r="H24" s="7" t="s">
        <v>268</v>
      </c>
      <c r="I24" s="7" t="s">
        <v>269</v>
      </c>
      <c r="J24" s="7" t="s">
        <v>279</v>
      </c>
      <c r="K24" s="14" t="s">
        <v>280</v>
      </c>
      <c r="L24" s="7" t="s">
        <v>281</v>
      </c>
      <c r="M24" s="7" t="s">
        <v>282</v>
      </c>
      <c r="N24" s="15" t="s">
        <v>240</v>
      </c>
      <c r="O24" s="7" t="s">
        <v>283</v>
      </c>
      <c r="P24" s="7" t="s">
        <v>284</v>
      </c>
      <c r="Q24" s="7" t="s">
        <v>285</v>
      </c>
      <c r="R24" s="7" t="s">
        <v>286</v>
      </c>
    </row>
    <row r="25" customFormat="false" ht="69" hidden="false" customHeight="true" outlineLevel="0" collapsed="false">
      <c r="A25" s="16" t="s">
        <v>287</v>
      </c>
      <c r="B25" s="7" t="s">
        <v>222</v>
      </c>
      <c r="C25" s="7" t="s">
        <v>80</v>
      </c>
      <c r="D25" s="7" t="s">
        <v>266</v>
      </c>
      <c r="E25" s="7" t="s">
        <v>288</v>
      </c>
      <c r="F25" s="18" t="s">
        <v>176</v>
      </c>
      <c r="G25" s="17" t="s">
        <v>82</v>
      </c>
      <c r="H25" s="7" t="s">
        <v>268</v>
      </c>
      <c r="I25" s="7" t="s">
        <v>269</v>
      </c>
      <c r="J25" s="7" t="s">
        <v>279</v>
      </c>
      <c r="K25" s="14" t="s">
        <v>289</v>
      </c>
      <c r="L25" s="7" t="s">
        <v>290</v>
      </c>
      <c r="M25" s="7" t="s">
        <v>282</v>
      </c>
      <c r="N25" s="15" t="s">
        <v>240</v>
      </c>
      <c r="O25" s="7" t="s">
        <v>291</v>
      </c>
      <c r="P25" s="7" t="s">
        <v>284</v>
      </c>
      <c r="Q25" s="7" t="s">
        <v>292</v>
      </c>
      <c r="R25" s="7" t="s">
        <v>286</v>
      </c>
    </row>
    <row r="26" customFormat="false" ht="69" hidden="false" customHeight="true" outlineLevel="0" collapsed="false">
      <c r="A26" s="12" t="s">
        <v>293</v>
      </c>
      <c r="B26" s="7" t="s">
        <v>222</v>
      </c>
      <c r="C26" s="7" t="s">
        <v>64</v>
      </c>
      <c r="D26" s="7"/>
      <c r="E26" s="7" t="s">
        <v>294</v>
      </c>
      <c r="F26" s="7" t="s">
        <v>66</v>
      </c>
      <c r="G26" s="13" t="s">
        <v>67</v>
      </c>
      <c r="H26" s="7" t="s">
        <v>256</v>
      </c>
      <c r="I26" s="7" t="s">
        <v>295</v>
      </c>
      <c r="J26" s="7" t="s">
        <v>236</v>
      </c>
      <c r="K26" s="14" t="s">
        <v>296</v>
      </c>
      <c r="L26" s="7" t="s">
        <v>297</v>
      </c>
      <c r="M26" s="7" t="s">
        <v>73</v>
      </c>
      <c r="N26" s="15" t="s">
        <v>132</v>
      </c>
      <c r="O26" s="7" t="s">
        <v>298</v>
      </c>
      <c r="P26" s="7" t="s">
        <v>299</v>
      </c>
      <c r="Q26" s="7" t="s">
        <v>300</v>
      </c>
      <c r="R26" s="7" t="s">
        <v>124</v>
      </c>
    </row>
    <row r="27" customFormat="false" ht="69" hidden="false" customHeight="true" outlineLevel="0" collapsed="false">
      <c r="A27" s="16" t="s">
        <v>301</v>
      </c>
      <c r="B27" s="7" t="s">
        <v>222</v>
      </c>
      <c r="C27" s="7" t="s">
        <v>80</v>
      </c>
      <c r="D27" s="7" t="s">
        <v>293</v>
      </c>
      <c r="E27" s="7" t="s">
        <v>302</v>
      </c>
      <c r="F27" s="7" t="s">
        <v>66</v>
      </c>
      <c r="G27" s="13" t="s">
        <v>67</v>
      </c>
      <c r="H27" s="7" t="s">
        <v>256</v>
      </c>
      <c r="I27" s="7" t="s">
        <v>303</v>
      </c>
      <c r="J27" s="7" t="s">
        <v>236</v>
      </c>
      <c r="K27" s="14" t="s">
        <v>304</v>
      </c>
      <c r="L27" s="7" t="s">
        <v>305</v>
      </c>
      <c r="M27" s="7" t="s">
        <v>306</v>
      </c>
      <c r="N27" s="15" t="s">
        <v>195</v>
      </c>
      <c r="O27" s="7" t="s">
        <v>307</v>
      </c>
      <c r="P27" s="7" t="s">
        <v>308</v>
      </c>
      <c r="Q27" s="7" t="s">
        <v>309</v>
      </c>
      <c r="R27" s="7" t="s">
        <v>310</v>
      </c>
    </row>
    <row r="28" customFormat="false" ht="69" hidden="false" customHeight="true" outlineLevel="0" collapsed="false">
      <c r="A28" s="16" t="s">
        <v>311</v>
      </c>
      <c r="B28" s="7" t="s">
        <v>222</v>
      </c>
      <c r="C28" s="7" t="s">
        <v>80</v>
      </c>
      <c r="D28" s="7" t="s">
        <v>293</v>
      </c>
      <c r="E28" s="7" t="s">
        <v>312</v>
      </c>
      <c r="F28" s="7" t="s">
        <v>66</v>
      </c>
      <c r="G28" s="13" t="s">
        <v>67</v>
      </c>
      <c r="H28" s="7" t="s">
        <v>256</v>
      </c>
      <c r="I28" s="7" t="s">
        <v>303</v>
      </c>
      <c r="J28" s="7" t="s">
        <v>236</v>
      </c>
      <c r="K28" s="14" t="s">
        <v>313</v>
      </c>
      <c r="L28" s="7" t="s">
        <v>314</v>
      </c>
      <c r="M28" s="7" t="s">
        <v>73</v>
      </c>
      <c r="N28" s="15" t="s">
        <v>132</v>
      </c>
      <c r="O28" s="7" t="s">
        <v>315</v>
      </c>
      <c r="P28" s="7" t="s">
        <v>316</v>
      </c>
      <c r="Q28" s="7" t="s">
        <v>317</v>
      </c>
      <c r="R28" s="7" t="s">
        <v>318</v>
      </c>
    </row>
    <row r="29" customFormat="false" ht="91.5" hidden="false" customHeight="true" outlineLevel="0" collapsed="false">
      <c r="A29" s="16" t="s">
        <v>319</v>
      </c>
      <c r="B29" s="7" t="s">
        <v>222</v>
      </c>
      <c r="C29" s="7" t="s">
        <v>80</v>
      </c>
      <c r="D29" s="7" t="s">
        <v>293</v>
      </c>
      <c r="E29" s="7" t="s">
        <v>320</v>
      </c>
      <c r="F29" s="7" t="s">
        <v>66</v>
      </c>
      <c r="G29" s="17" t="s">
        <v>82</v>
      </c>
      <c r="H29" s="7" t="s">
        <v>256</v>
      </c>
      <c r="I29" s="7" t="s">
        <v>321</v>
      </c>
      <c r="J29" s="7" t="s">
        <v>322</v>
      </c>
      <c r="K29" s="14" t="s">
        <v>323</v>
      </c>
      <c r="L29" s="7" t="s">
        <v>324</v>
      </c>
      <c r="M29" s="7" t="s">
        <v>87</v>
      </c>
      <c r="N29" s="15" t="s">
        <v>110</v>
      </c>
      <c r="O29" s="7" t="s">
        <v>325</v>
      </c>
      <c r="P29" s="7" t="s">
        <v>326</v>
      </c>
      <c r="Q29" s="7" t="s">
        <v>327</v>
      </c>
      <c r="R29" s="7" t="s">
        <v>328</v>
      </c>
    </row>
    <row r="30" customFormat="false" ht="69" hidden="false" customHeight="true" outlineLevel="0" collapsed="false">
      <c r="A30" s="12" t="s">
        <v>329</v>
      </c>
      <c r="B30" s="7" t="s">
        <v>222</v>
      </c>
      <c r="C30" s="7" t="s">
        <v>64</v>
      </c>
      <c r="D30" s="7"/>
      <c r="E30" s="7" t="s">
        <v>330</v>
      </c>
      <c r="F30" s="7" t="s">
        <v>66</v>
      </c>
      <c r="G30" s="17" t="s">
        <v>82</v>
      </c>
      <c r="H30" s="7" t="s">
        <v>256</v>
      </c>
      <c r="I30" s="7" t="s">
        <v>331</v>
      </c>
      <c r="J30" s="7" t="s">
        <v>332</v>
      </c>
      <c r="K30" s="14" t="s">
        <v>333</v>
      </c>
      <c r="L30" s="7" t="s">
        <v>334</v>
      </c>
      <c r="M30" s="7" t="s">
        <v>87</v>
      </c>
      <c r="N30" s="15" t="s">
        <v>110</v>
      </c>
      <c r="O30" s="7" t="s">
        <v>335</v>
      </c>
      <c r="P30" s="7" t="s">
        <v>336</v>
      </c>
      <c r="Q30" s="7" t="s">
        <v>300</v>
      </c>
      <c r="R30" s="7" t="s">
        <v>337</v>
      </c>
    </row>
    <row r="31" customFormat="false" ht="69" hidden="false" customHeight="true" outlineLevel="0" collapsed="false">
      <c r="A31" s="16" t="s">
        <v>338</v>
      </c>
      <c r="B31" s="7" t="s">
        <v>222</v>
      </c>
      <c r="C31" s="7" t="s">
        <v>80</v>
      </c>
      <c r="D31" s="7" t="s">
        <v>329</v>
      </c>
      <c r="E31" s="7" t="s">
        <v>339</v>
      </c>
      <c r="F31" s="7" t="s">
        <v>66</v>
      </c>
      <c r="G31" s="17" t="s">
        <v>82</v>
      </c>
      <c r="H31" s="7" t="s">
        <v>256</v>
      </c>
      <c r="I31" s="7" t="s">
        <v>340</v>
      </c>
      <c r="J31" s="7" t="s">
        <v>341</v>
      </c>
      <c r="K31" s="14" t="s">
        <v>342</v>
      </c>
      <c r="L31" s="7" t="s">
        <v>343</v>
      </c>
      <c r="M31" s="7" t="s">
        <v>87</v>
      </c>
      <c r="N31" s="15" t="s">
        <v>110</v>
      </c>
      <c r="O31" s="7" t="s">
        <v>344</v>
      </c>
      <c r="P31" s="7" t="s">
        <v>345</v>
      </c>
      <c r="Q31" s="7" t="s">
        <v>346</v>
      </c>
      <c r="R31" s="7" t="s">
        <v>337</v>
      </c>
    </row>
    <row r="32" customFormat="false" ht="69" hidden="false" customHeight="true" outlineLevel="0" collapsed="false">
      <c r="A32" s="16" t="s">
        <v>347</v>
      </c>
      <c r="B32" s="7" t="s">
        <v>222</v>
      </c>
      <c r="C32" s="7" t="s">
        <v>80</v>
      </c>
      <c r="D32" s="7" t="s">
        <v>329</v>
      </c>
      <c r="E32" s="7" t="s">
        <v>348</v>
      </c>
      <c r="F32" s="7" t="s">
        <v>66</v>
      </c>
      <c r="G32" s="17" t="s">
        <v>82</v>
      </c>
      <c r="H32" s="7" t="s">
        <v>256</v>
      </c>
      <c r="I32" s="7" t="s">
        <v>349</v>
      </c>
      <c r="J32" s="7" t="s">
        <v>350</v>
      </c>
      <c r="K32" s="14" t="s">
        <v>351</v>
      </c>
      <c r="L32" s="7" t="s">
        <v>352</v>
      </c>
      <c r="M32" s="7" t="s">
        <v>87</v>
      </c>
      <c r="N32" s="15" t="s">
        <v>110</v>
      </c>
      <c r="O32" s="7" t="s">
        <v>353</v>
      </c>
      <c r="P32" s="7" t="s">
        <v>172</v>
      </c>
      <c r="Q32" s="7" t="s">
        <v>354</v>
      </c>
      <c r="R32" s="7" t="s">
        <v>355</v>
      </c>
    </row>
    <row r="33" customFormat="false" ht="91.5" hidden="false" customHeight="true" outlineLevel="0" collapsed="false">
      <c r="A33" s="12" t="s">
        <v>356</v>
      </c>
      <c r="B33" s="7" t="s">
        <v>222</v>
      </c>
      <c r="C33" s="7" t="s">
        <v>64</v>
      </c>
      <c r="D33" s="7"/>
      <c r="E33" s="7" t="s">
        <v>357</v>
      </c>
      <c r="F33" s="7" t="s">
        <v>66</v>
      </c>
      <c r="G33" s="13" t="s">
        <v>67</v>
      </c>
      <c r="H33" s="7" t="s">
        <v>256</v>
      </c>
      <c r="I33" s="7" t="s">
        <v>358</v>
      </c>
      <c r="J33" s="7" t="s">
        <v>236</v>
      </c>
      <c r="K33" s="14" t="s">
        <v>359</v>
      </c>
      <c r="L33" s="7" t="s">
        <v>360</v>
      </c>
      <c r="M33" s="7" t="s">
        <v>87</v>
      </c>
      <c r="N33" s="15" t="s">
        <v>74</v>
      </c>
      <c r="O33" s="7" t="s">
        <v>361</v>
      </c>
      <c r="P33" s="7" t="s">
        <v>362</v>
      </c>
      <c r="Q33" s="7" t="s">
        <v>363</v>
      </c>
      <c r="R33" s="7" t="s">
        <v>355</v>
      </c>
    </row>
    <row r="34" customFormat="false" ht="69" hidden="false" customHeight="true" outlineLevel="0" collapsed="false">
      <c r="A34" s="16" t="s">
        <v>364</v>
      </c>
      <c r="B34" s="7" t="s">
        <v>222</v>
      </c>
      <c r="C34" s="7" t="s">
        <v>80</v>
      </c>
      <c r="D34" s="7" t="s">
        <v>356</v>
      </c>
      <c r="E34" s="7" t="s">
        <v>365</v>
      </c>
      <c r="F34" s="7" t="s">
        <v>66</v>
      </c>
      <c r="G34" s="17" t="s">
        <v>82</v>
      </c>
      <c r="H34" s="7" t="s">
        <v>366</v>
      </c>
      <c r="I34" s="7" t="s">
        <v>367</v>
      </c>
      <c r="J34" s="7" t="s">
        <v>368</v>
      </c>
      <c r="K34" s="14" t="s">
        <v>369</v>
      </c>
      <c r="L34" s="7" t="s">
        <v>370</v>
      </c>
      <c r="M34" s="7" t="s">
        <v>371</v>
      </c>
      <c r="N34" s="15" t="s">
        <v>88</v>
      </c>
      <c r="O34" s="7" t="s">
        <v>372</v>
      </c>
      <c r="P34" s="7" t="s">
        <v>373</v>
      </c>
      <c r="Q34" s="7" t="s">
        <v>374</v>
      </c>
      <c r="R34" s="7" t="s">
        <v>355</v>
      </c>
    </row>
    <row r="35" customFormat="false" ht="18" hidden="false" customHeight="true" outlineLevel="0" collapsed="false">
      <c r="A35" s="11" t="s">
        <v>375</v>
      </c>
      <c r="B35" s="11"/>
      <c r="C35" s="11"/>
      <c r="D35" s="11"/>
      <c r="E35" s="11"/>
      <c r="F35" s="11"/>
      <c r="G35" s="11"/>
      <c r="H35" s="11"/>
      <c r="I35" s="11"/>
      <c r="J35" s="11"/>
      <c r="K35" s="11"/>
      <c r="L35" s="11"/>
      <c r="M35" s="11"/>
      <c r="N35" s="11"/>
      <c r="O35" s="11"/>
      <c r="P35" s="11"/>
      <c r="Q35" s="11"/>
      <c r="R35" s="11"/>
    </row>
    <row r="36" customFormat="false" ht="69" hidden="false" customHeight="true" outlineLevel="0" collapsed="false">
      <c r="A36" s="12" t="s">
        <v>376</v>
      </c>
      <c r="B36" s="7" t="s">
        <v>375</v>
      </c>
      <c r="C36" s="7" t="s">
        <v>64</v>
      </c>
      <c r="D36" s="7"/>
      <c r="E36" s="7" t="s">
        <v>377</v>
      </c>
      <c r="F36" s="7" t="s">
        <v>66</v>
      </c>
      <c r="G36" s="17" t="s">
        <v>82</v>
      </c>
      <c r="H36" s="7" t="s">
        <v>378</v>
      </c>
      <c r="I36" s="7" t="s">
        <v>379</v>
      </c>
      <c r="J36" s="7" t="s">
        <v>380</v>
      </c>
      <c r="K36" s="14" t="s">
        <v>381</v>
      </c>
      <c r="L36" s="7" t="s">
        <v>382</v>
      </c>
      <c r="M36" s="7" t="s">
        <v>282</v>
      </c>
      <c r="N36" s="15" t="s">
        <v>88</v>
      </c>
      <c r="O36" s="7" t="s">
        <v>383</v>
      </c>
      <c r="P36" s="7" t="s">
        <v>384</v>
      </c>
      <c r="Q36" s="7" t="s">
        <v>385</v>
      </c>
      <c r="R36" s="7" t="s">
        <v>386</v>
      </c>
    </row>
    <row r="37" customFormat="false" ht="69" hidden="false" customHeight="true" outlineLevel="0" collapsed="false">
      <c r="A37" s="16" t="s">
        <v>387</v>
      </c>
      <c r="B37" s="7" t="s">
        <v>375</v>
      </c>
      <c r="C37" s="7" t="s">
        <v>80</v>
      </c>
      <c r="D37" s="7" t="s">
        <v>376</v>
      </c>
      <c r="E37" s="7" t="s">
        <v>388</v>
      </c>
      <c r="F37" s="7" t="s">
        <v>66</v>
      </c>
      <c r="G37" s="13" t="s">
        <v>67</v>
      </c>
      <c r="H37" s="7" t="s">
        <v>246</v>
      </c>
      <c r="I37" s="7" t="s">
        <v>389</v>
      </c>
      <c r="J37" s="7" t="s">
        <v>390</v>
      </c>
      <c r="K37" s="14" t="s">
        <v>391</v>
      </c>
      <c r="L37" s="7" t="s">
        <v>392</v>
      </c>
      <c r="M37" s="7" t="s">
        <v>73</v>
      </c>
      <c r="N37" s="15" t="s">
        <v>207</v>
      </c>
      <c r="O37" s="7" t="s">
        <v>393</v>
      </c>
      <c r="P37" s="7" t="s">
        <v>394</v>
      </c>
      <c r="Q37" s="7" t="s">
        <v>395</v>
      </c>
      <c r="R37" s="7" t="s">
        <v>396</v>
      </c>
    </row>
    <row r="38" customFormat="false" ht="69" hidden="false" customHeight="true" outlineLevel="0" collapsed="false">
      <c r="A38" s="16" t="s">
        <v>397</v>
      </c>
      <c r="B38" s="7" t="s">
        <v>375</v>
      </c>
      <c r="C38" s="7" t="s">
        <v>80</v>
      </c>
      <c r="D38" s="7" t="s">
        <v>376</v>
      </c>
      <c r="E38" s="7" t="s">
        <v>398</v>
      </c>
      <c r="F38" s="7" t="s">
        <v>66</v>
      </c>
      <c r="G38" s="13" t="s">
        <v>67</v>
      </c>
      <c r="H38" s="7" t="s">
        <v>256</v>
      </c>
      <c r="I38" s="7" t="s">
        <v>399</v>
      </c>
      <c r="J38" s="7" t="s">
        <v>390</v>
      </c>
      <c r="K38" s="14" t="s">
        <v>400</v>
      </c>
      <c r="L38" s="7" t="s">
        <v>401</v>
      </c>
      <c r="M38" s="7" t="s">
        <v>73</v>
      </c>
      <c r="N38" s="15" t="s">
        <v>74</v>
      </c>
      <c r="O38" s="7" t="s">
        <v>402</v>
      </c>
      <c r="P38" s="7" t="s">
        <v>403</v>
      </c>
      <c r="Q38" s="7" t="s">
        <v>404</v>
      </c>
      <c r="R38" s="7" t="s">
        <v>405</v>
      </c>
    </row>
    <row r="39" customFormat="false" ht="114.75" hidden="false" customHeight="true" outlineLevel="0" collapsed="false">
      <c r="A39" s="12" t="s">
        <v>406</v>
      </c>
      <c r="B39" s="7" t="s">
        <v>375</v>
      </c>
      <c r="C39" s="7" t="s">
        <v>64</v>
      </c>
      <c r="D39" s="7"/>
      <c r="E39" s="7" t="s">
        <v>407</v>
      </c>
      <c r="F39" s="7" t="s">
        <v>66</v>
      </c>
      <c r="G39" s="13" t="s">
        <v>67</v>
      </c>
      <c r="H39" s="7" t="s">
        <v>256</v>
      </c>
      <c r="I39" s="7" t="s">
        <v>408</v>
      </c>
      <c r="J39" s="7" t="s">
        <v>409</v>
      </c>
      <c r="K39" s="14" t="s">
        <v>410</v>
      </c>
      <c r="L39" s="7" t="s">
        <v>411</v>
      </c>
      <c r="M39" s="7" t="s">
        <v>73</v>
      </c>
      <c r="N39" s="15" t="s">
        <v>207</v>
      </c>
      <c r="O39" s="7" t="s">
        <v>412</v>
      </c>
      <c r="P39" s="7" t="s">
        <v>413</v>
      </c>
      <c r="Q39" s="7" t="s">
        <v>414</v>
      </c>
      <c r="R39" s="7" t="s">
        <v>415</v>
      </c>
    </row>
    <row r="40" customFormat="false" ht="69" hidden="false" customHeight="true" outlineLevel="0" collapsed="false">
      <c r="A40" s="12" t="s">
        <v>416</v>
      </c>
      <c r="B40" s="7" t="s">
        <v>375</v>
      </c>
      <c r="C40" s="7" t="s">
        <v>64</v>
      </c>
      <c r="D40" s="7"/>
      <c r="E40" s="7" t="s">
        <v>417</v>
      </c>
      <c r="F40" s="7" t="s">
        <v>66</v>
      </c>
      <c r="G40" s="17" t="s">
        <v>82</v>
      </c>
      <c r="H40" s="7" t="s">
        <v>256</v>
      </c>
      <c r="I40" s="7" t="s">
        <v>418</v>
      </c>
      <c r="J40" s="7" t="s">
        <v>419</v>
      </c>
      <c r="K40" s="14" t="s">
        <v>420</v>
      </c>
      <c r="L40" s="7" t="s">
        <v>421</v>
      </c>
      <c r="M40" s="7" t="s">
        <v>87</v>
      </c>
      <c r="N40" s="15" t="s">
        <v>110</v>
      </c>
      <c r="O40" s="7" t="s">
        <v>422</v>
      </c>
      <c r="P40" s="7" t="s">
        <v>423</v>
      </c>
      <c r="Q40" s="7" t="s">
        <v>424</v>
      </c>
      <c r="R40" s="7" t="s">
        <v>425</v>
      </c>
    </row>
    <row r="41" customFormat="false" ht="69" hidden="false" customHeight="true" outlineLevel="0" collapsed="false">
      <c r="A41" s="12" t="s">
        <v>426</v>
      </c>
      <c r="B41" s="7" t="s">
        <v>375</v>
      </c>
      <c r="C41" s="7" t="s">
        <v>64</v>
      </c>
      <c r="D41" s="7"/>
      <c r="E41" s="7" t="s">
        <v>427</v>
      </c>
      <c r="F41" s="7" t="s">
        <v>66</v>
      </c>
      <c r="G41" s="13" t="s">
        <v>67</v>
      </c>
      <c r="H41" s="7" t="s">
        <v>428</v>
      </c>
      <c r="I41" s="7" t="s">
        <v>429</v>
      </c>
      <c r="J41" s="7" t="s">
        <v>430</v>
      </c>
      <c r="K41" s="14" t="s">
        <v>431</v>
      </c>
      <c r="L41" s="7" t="s">
        <v>432</v>
      </c>
      <c r="M41" s="7" t="s">
        <v>73</v>
      </c>
      <c r="N41" s="15" t="s">
        <v>74</v>
      </c>
      <c r="O41" s="7" t="s">
        <v>433</v>
      </c>
      <c r="P41" s="7" t="s">
        <v>434</v>
      </c>
      <c r="Q41" s="7" t="s">
        <v>435</v>
      </c>
      <c r="R41" s="7" t="s">
        <v>436</v>
      </c>
    </row>
    <row r="42" customFormat="false" ht="69" hidden="false" customHeight="true" outlineLevel="0" collapsed="false">
      <c r="A42" s="12" t="s">
        <v>437</v>
      </c>
      <c r="B42" s="7" t="s">
        <v>375</v>
      </c>
      <c r="C42" s="7" t="s">
        <v>64</v>
      </c>
      <c r="D42" s="7"/>
      <c r="E42" s="7" t="s">
        <v>438</v>
      </c>
      <c r="F42" s="7" t="s">
        <v>439</v>
      </c>
      <c r="G42" s="17" t="s">
        <v>82</v>
      </c>
      <c r="H42" s="7" t="s">
        <v>256</v>
      </c>
      <c r="I42" s="7" t="s">
        <v>440</v>
      </c>
      <c r="J42" s="7" t="s">
        <v>441</v>
      </c>
      <c r="K42" s="14" t="s">
        <v>442</v>
      </c>
      <c r="L42" s="7" t="s">
        <v>443</v>
      </c>
      <c r="M42" s="7" t="s">
        <v>444</v>
      </c>
      <c r="N42" s="15" t="s">
        <v>99</v>
      </c>
      <c r="O42" s="7" t="s">
        <v>445</v>
      </c>
      <c r="P42" s="7" t="s">
        <v>446</v>
      </c>
      <c r="Q42" s="7" t="s">
        <v>447</v>
      </c>
      <c r="R42" s="7" t="s">
        <v>448</v>
      </c>
    </row>
    <row r="43" customFormat="false" ht="103.5" hidden="false" customHeight="true" outlineLevel="0" collapsed="false">
      <c r="A43" s="12" t="s">
        <v>449</v>
      </c>
      <c r="B43" s="7" t="s">
        <v>375</v>
      </c>
      <c r="C43" s="7" t="s">
        <v>64</v>
      </c>
      <c r="D43" s="7"/>
      <c r="E43" s="7" t="s">
        <v>450</v>
      </c>
      <c r="F43" s="7" t="s">
        <v>66</v>
      </c>
      <c r="G43" s="17" t="s">
        <v>82</v>
      </c>
      <c r="H43" s="7" t="s">
        <v>428</v>
      </c>
      <c r="I43" s="7" t="s">
        <v>451</v>
      </c>
      <c r="J43" s="7" t="s">
        <v>452</v>
      </c>
      <c r="K43" s="14" t="s">
        <v>453</v>
      </c>
      <c r="L43" s="7" t="s">
        <v>454</v>
      </c>
      <c r="M43" s="7" t="s">
        <v>282</v>
      </c>
      <c r="N43" s="15" t="s">
        <v>99</v>
      </c>
      <c r="O43" s="7" t="s">
        <v>455</v>
      </c>
      <c r="P43" s="7" t="s">
        <v>456</v>
      </c>
      <c r="Q43" s="7" t="s">
        <v>457</v>
      </c>
      <c r="R43" s="7" t="s">
        <v>436</v>
      </c>
    </row>
    <row r="44" customFormat="false" ht="18" hidden="false" customHeight="true" outlineLevel="0" collapsed="false">
      <c r="A44" s="11" t="s">
        <v>458</v>
      </c>
      <c r="B44" s="11"/>
      <c r="C44" s="11"/>
      <c r="D44" s="11"/>
      <c r="E44" s="11"/>
      <c r="F44" s="11"/>
      <c r="G44" s="11"/>
      <c r="H44" s="11"/>
      <c r="I44" s="11"/>
      <c r="J44" s="11"/>
      <c r="K44" s="11"/>
      <c r="L44" s="11"/>
      <c r="M44" s="11"/>
      <c r="N44" s="11"/>
      <c r="O44" s="11"/>
      <c r="P44" s="11"/>
      <c r="Q44" s="11"/>
      <c r="R44" s="11"/>
    </row>
    <row r="45" customFormat="false" ht="80.25" hidden="false" customHeight="true" outlineLevel="0" collapsed="false">
      <c r="A45" s="12" t="s">
        <v>459</v>
      </c>
      <c r="B45" s="7" t="s">
        <v>460</v>
      </c>
      <c r="C45" s="7" t="s">
        <v>64</v>
      </c>
      <c r="D45" s="7"/>
      <c r="E45" s="7" t="s">
        <v>461</v>
      </c>
      <c r="F45" s="7" t="s">
        <v>66</v>
      </c>
      <c r="G45" s="17" t="s">
        <v>82</v>
      </c>
      <c r="H45" s="7" t="s">
        <v>462</v>
      </c>
      <c r="I45" s="7" t="s">
        <v>463</v>
      </c>
      <c r="J45" s="7" t="s">
        <v>236</v>
      </c>
      <c r="K45" s="14" t="s">
        <v>464</v>
      </c>
      <c r="L45" s="7" t="s">
        <v>465</v>
      </c>
      <c r="M45" s="7" t="s">
        <v>87</v>
      </c>
      <c r="N45" s="15" t="s">
        <v>99</v>
      </c>
      <c r="O45" s="7" t="s">
        <v>466</v>
      </c>
      <c r="P45" s="7" t="s">
        <v>467</v>
      </c>
      <c r="Q45" s="7" t="s">
        <v>468</v>
      </c>
      <c r="R45" s="7" t="s">
        <v>469</v>
      </c>
    </row>
    <row r="46" customFormat="false" ht="69" hidden="false" customHeight="true" outlineLevel="0" collapsed="false">
      <c r="A46" s="12" t="s">
        <v>470</v>
      </c>
      <c r="B46" s="7" t="s">
        <v>460</v>
      </c>
      <c r="C46" s="7" t="s">
        <v>64</v>
      </c>
      <c r="D46" s="7"/>
      <c r="E46" s="7" t="s">
        <v>471</v>
      </c>
      <c r="F46" s="18" t="s">
        <v>176</v>
      </c>
      <c r="G46" s="17" t="s">
        <v>82</v>
      </c>
      <c r="H46" s="7" t="s">
        <v>472</v>
      </c>
      <c r="I46" s="7" t="s">
        <v>473</v>
      </c>
      <c r="J46" s="7" t="s">
        <v>236</v>
      </c>
      <c r="K46" s="14" t="s">
        <v>474</v>
      </c>
      <c r="L46" s="7" t="s">
        <v>475</v>
      </c>
      <c r="M46" s="7" t="s">
        <v>282</v>
      </c>
      <c r="N46" s="15" t="s">
        <v>240</v>
      </c>
      <c r="O46" s="7" t="s">
        <v>476</v>
      </c>
      <c r="P46" s="7" t="s">
        <v>477</v>
      </c>
      <c r="Q46" s="7" t="s">
        <v>478</v>
      </c>
      <c r="R46" s="7" t="s">
        <v>265</v>
      </c>
    </row>
    <row r="47" customFormat="false" ht="103.5" hidden="false" customHeight="true" outlineLevel="0" collapsed="false">
      <c r="A47" s="12" t="s">
        <v>479</v>
      </c>
      <c r="B47" s="7" t="s">
        <v>460</v>
      </c>
      <c r="C47" s="7" t="s">
        <v>64</v>
      </c>
      <c r="D47" s="7"/>
      <c r="E47" s="7" t="s">
        <v>480</v>
      </c>
      <c r="F47" s="7" t="s">
        <v>66</v>
      </c>
      <c r="G47" s="13" t="s">
        <v>67</v>
      </c>
      <c r="H47" s="7" t="s">
        <v>481</v>
      </c>
      <c r="I47" s="7" t="s">
        <v>482</v>
      </c>
      <c r="J47" s="7" t="s">
        <v>483</v>
      </c>
      <c r="K47" s="14" t="s">
        <v>484</v>
      </c>
      <c r="L47" s="7" t="s">
        <v>485</v>
      </c>
      <c r="M47" s="7" t="s">
        <v>444</v>
      </c>
      <c r="N47" s="15" t="s">
        <v>486</v>
      </c>
      <c r="O47" s="7" t="s">
        <v>487</v>
      </c>
      <c r="P47" s="7" t="s">
        <v>488</v>
      </c>
      <c r="Q47" s="7" t="s">
        <v>489</v>
      </c>
      <c r="R47" s="7" t="s">
        <v>490</v>
      </c>
    </row>
    <row r="48" customFormat="false" ht="80.25" hidden="false" customHeight="true" outlineLevel="0" collapsed="false">
      <c r="A48" s="12" t="s">
        <v>491</v>
      </c>
      <c r="B48" s="7" t="s">
        <v>460</v>
      </c>
      <c r="C48" s="7" t="s">
        <v>64</v>
      </c>
      <c r="D48" s="7"/>
      <c r="E48" s="7" t="s">
        <v>492</v>
      </c>
      <c r="F48" s="7" t="s">
        <v>66</v>
      </c>
      <c r="G48" s="19" t="s">
        <v>493</v>
      </c>
      <c r="H48" s="7" t="s">
        <v>494</v>
      </c>
      <c r="I48" s="7" t="s">
        <v>495</v>
      </c>
      <c r="J48" s="7" t="s">
        <v>496</v>
      </c>
      <c r="K48" s="14" t="s">
        <v>497</v>
      </c>
      <c r="L48" s="7" t="s">
        <v>498</v>
      </c>
      <c r="M48" s="7" t="s">
        <v>499</v>
      </c>
      <c r="N48" s="15" t="s">
        <v>500</v>
      </c>
      <c r="O48" s="7" t="s">
        <v>501</v>
      </c>
      <c r="P48" s="7" t="s">
        <v>502</v>
      </c>
      <c r="Q48" s="7" t="s">
        <v>503</v>
      </c>
      <c r="R48" s="7" t="s">
        <v>504</v>
      </c>
    </row>
    <row r="49" customFormat="false" ht="91.5" hidden="false" customHeight="true" outlineLevel="0" collapsed="false">
      <c r="A49" s="12" t="s">
        <v>505</v>
      </c>
      <c r="B49" s="7" t="s">
        <v>460</v>
      </c>
      <c r="C49" s="7" t="s">
        <v>64</v>
      </c>
      <c r="D49" s="7"/>
      <c r="E49" s="7" t="s">
        <v>506</v>
      </c>
      <c r="F49" s="18" t="s">
        <v>176</v>
      </c>
      <c r="G49" s="17" t="s">
        <v>82</v>
      </c>
      <c r="H49" s="7" t="s">
        <v>507</v>
      </c>
      <c r="I49" s="7" t="s">
        <v>508</v>
      </c>
      <c r="J49" s="7" t="s">
        <v>509</v>
      </c>
      <c r="K49" s="14" t="s">
        <v>510</v>
      </c>
      <c r="L49" s="7" t="s">
        <v>511</v>
      </c>
      <c r="M49" s="7" t="s">
        <v>182</v>
      </c>
      <c r="N49" s="15" t="s">
        <v>512</v>
      </c>
      <c r="O49" s="7" t="s">
        <v>513</v>
      </c>
      <c r="P49" s="7" t="s">
        <v>514</v>
      </c>
      <c r="Q49" s="7" t="s">
        <v>515</v>
      </c>
      <c r="R49" s="7" t="s">
        <v>516</v>
      </c>
    </row>
    <row r="50" customFormat="false" ht="18" hidden="false" customHeight="true" outlineLevel="0" collapsed="false">
      <c r="A50" s="11" t="s">
        <v>517</v>
      </c>
      <c r="B50" s="11"/>
      <c r="C50" s="11"/>
      <c r="D50" s="11"/>
      <c r="E50" s="11"/>
      <c r="F50" s="11"/>
      <c r="G50" s="11"/>
      <c r="H50" s="11"/>
      <c r="I50" s="11"/>
      <c r="J50" s="11"/>
      <c r="K50" s="11"/>
      <c r="L50" s="11"/>
      <c r="M50" s="11"/>
      <c r="N50" s="11"/>
      <c r="O50" s="11"/>
      <c r="P50" s="11"/>
      <c r="Q50" s="11"/>
      <c r="R50" s="11"/>
    </row>
    <row r="51" customFormat="false" ht="91.5" hidden="false" customHeight="true" outlineLevel="0" collapsed="false">
      <c r="A51" s="12" t="s">
        <v>518</v>
      </c>
      <c r="B51" s="7" t="s">
        <v>519</v>
      </c>
      <c r="C51" s="7" t="s">
        <v>64</v>
      </c>
      <c r="D51" s="7"/>
      <c r="E51" s="7" t="s">
        <v>520</v>
      </c>
      <c r="F51" s="7" t="s">
        <v>66</v>
      </c>
      <c r="G51" s="13" t="s">
        <v>67</v>
      </c>
      <c r="H51" s="7" t="s">
        <v>521</v>
      </c>
      <c r="I51" s="7" t="s">
        <v>522</v>
      </c>
      <c r="J51" s="7" t="s">
        <v>523</v>
      </c>
      <c r="K51" s="14" t="s">
        <v>524</v>
      </c>
      <c r="L51" s="7" t="s">
        <v>525</v>
      </c>
      <c r="M51" s="7" t="s">
        <v>87</v>
      </c>
      <c r="N51" s="15" t="s">
        <v>526</v>
      </c>
      <c r="O51" s="7" t="s">
        <v>527</v>
      </c>
      <c r="P51" s="7" t="s">
        <v>528</v>
      </c>
      <c r="Q51" s="7" t="s">
        <v>529</v>
      </c>
      <c r="R51" s="7" t="s">
        <v>530</v>
      </c>
    </row>
    <row r="52" customFormat="false" ht="80.25" hidden="false" customHeight="true" outlineLevel="0" collapsed="false">
      <c r="A52" s="12" t="s">
        <v>531</v>
      </c>
      <c r="B52" s="7" t="s">
        <v>519</v>
      </c>
      <c r="C52" s="7" t="s">
        <v>64</v>
      </c>
      <c r="D52" s="7"/>
      <c r="E52" s="7" t="s">
        <v>532</v>
      </c>
      <c r="F52" s="7" t="s">
        <v>66</v>
      </c>
      <c r="G52" s="19" t="s">
        <v>493</v>
      </c>
      <c r="H52" s="7" t="s">
        <v>533</v>
      </c>
      <c r="I52" s="7" t="s">
        <v>534</v>
      </c>
      <c r="J52" s="7" t="s">
        <v>535</v>
      </c>
      <c r="K52" s="14" t="s">
        <v>536</v>
      </c>
      <c r="L52" s="7" t="s">
        <v>537</v>
      </c>
      <c r="M52" s="7" t="s">
        <v>538</v>
      </c>
      <c r="N52" s="15" t="s">
        <v>539</v>
      </c>
      <c r="O52" s="7" t="s">
        <v>540</v>
      </c>
      <c r="P52" s="7" t="s">
        <v>541</v>
      </c>
      <c r="Q52" s="7" t="s">
        <v>542</v>
      </c>
      <c r="R52" s="7" t="s">
        <v>543</v>
      </c>
    </row>
    <row r="53" customFormat="false" ht="69" hidden="false" customHeight="true" outlineLevel="0" collapsed="false">
      <c r="A53" s="12" t="s">
        <v>544</v>
      </c>
      <c r="B53" s="7" t="s">
        <v>519</v>
      </c>
      <c r="C53" s="7" t="s">
        <v>64</v>
      </c>
      <c r="D53" s="7"/>
      <c r="E53" s="7" t="s">
        <v>545</v>
      </c>
      <c r="F53" s="7" t="s">
        <v>66</v>
      </c>
      <c r="G53" s="17" t="s">
        <v>82</v>
      </c>
      <c r="H53" s="7" t="s">
        <v>533</v>
      </c>
      <c r="I53" s="7" t="s">
        <v>546</v>
      </c>
      <c r="J53" s="7" t="s">
        <v>547</v>
      </c>
      <c r="K53" s="14" t="s">
        <v>548</v>
      </c>
      <c r="L53" s="7" t="s">
        <v>549</v>
      </c>
      <c r="M53" s="7" t="s">
        <v>73</v>
      </c>
      <c r="N53" s="15" t="s">
        <v>99</v>
      </c>
      <c r="O53" s="7" t="s">
        <v>550</v>
      </c>
      <c r="P53" s="7" t="s">
        <v>551</v>
      </c>
      <c r="Q53" s="7" t="s">
        <v>552</v>
      </c>
      <c r="R53" s="7" t="s">
        <v>553</v>
      </c>
    </row>
    <row r="54" customFormat="false" ht="69" hidden="false" customHeight="true" outlineLevel="0" collapsed="false">
      <c r="A54" s="12" t="s">
        <v>554</v>
      </c>
      <c r="B54" s="7" t="s">
        <v>519</v>
      </c>
      <c r="C54" s="7" t="s">
        <v>64</v>
      </c>
      <c r="D54" s="7"/>
      <c r="E54" s="7" t="s">
        <v>555</v>
      </c>
      <c r="F54" s="7" t="s">
        <v>66</v>
      </c>
      <c r="G54" s="13" t="s">
        <v>67</v>
      </c>
      <c r="H54" s="7" t="s">
        <v>556</v>
      </c>
      <c r="I54" s="7" t="s">
        <v>557</v>
      </c>
      <c r="J54" s="7" t="s">
        <v>558</v>
      </c>
      <c r="K54" s="14" t="s">
        <v>559</v>
      </c>
      <c r="L54" s="7" t="s">
        <v>560</v>
      </c>
      <c r="M54" s="7" t="s">
        <v>73</v>
      </c>
      <c r="N54" s="15" t="s">
        <v>132</v>
      </c>
      <c r="O54" s="7" t="s">
        <v>561</v>
      </c>
      <c r="P54" s="7" t="s">
        <v>562</v>
      </c>
      <c r="Q54" s="7" t="s">
        <v>563</v>
      </c>
      <c r="R54" s="7" t="s">
        <v>564</v>
      </c>
    </row>
    <row r="55" customFormat="false" ht="80.25" hidden="false" customHeight="true" outlineLevel="0" collapsed="false">
      <c r="A55" s="12" t="s">
        <v>565</v>
      </c>
      <c r="B55" s="7" t="s">
        <v>519</v>
      </c>
      <c r="C55" s="7" t="s">
        <v>64</v>
      </c>
      <c r="D55" s="7"/>
      <c r="E55" s="7" t="s">
        <v>566</v>
      </c>
      <c r="F55" s="7" t="s">
        <v>66</v>
      </c>
      <c r="G55" s="17" t="s">
        <v>82</v>
      </c>
      <c r="H55" s="7" t="s">
        <v>481</v>
      </c>
      <c r="I55" s="7" t="s">
        <v>567</v>
      </c>
      <c r="J55" s="7" t="s">
        <v>568</v>
      </c>
      <c r="K55" s="14" t="s">
        <v>569</v>
      </c>
      <c r="L55" s="7" t="s">
        <v>570</v>
      </c>
      <c r="M55" s="7" t="s">
        <v>571</v>
      </c>
      <c r="N55" s="15" t="s">
        <v>99</v>
      </c>
      <c r="O55" s="7" t="s">
        <v>572</v>
      </c>
      <c r="P55" s="7" t="s">
        <v>573</v>
      </c>
      <c r="Q55" s="7" t="s">
        <v>574</v>
      </c>
      <c r="R55" s="7" t="s">
        <v>575</v>
      </c>
    </row>
    <row r="56" customFormat="false" ht="69" hidden="false" customHeight="true" outlineLevel="0" collapsed="false">
      <c r="A56" s="12" t="s">
        <v>576</v>
      </c>
      <c r="B56" s="7" t="s">
        <v>519</v>
      </c>
      <c r="C56" s="7" t="s">
        <v>64</v>
      </c>
      <c r="D56" s="7"/>
      <c r="E56" s="7" t="s">
        <v>577</v>
      </c>
      <c r="F56" s="7" t="s">
        <v>66</v>
      </c>
      <c r="G56" s="17" t="s">
        <v>82</v>
      </c>
      <c r="H56" s="7" t="s">
        <v>578</v>
      </c>
      <c r="I56" s="7" t="s">
        <v>579</v>
      </c>
      <c r="J56" s="7" t="s">
        <v>580</v>
      </c>
      <c r="K56" s="14" t="s">
        <v>581</v>
      </c>
      <c r="L56" s="7" t="s">
        <v>582</v>
      </c>
      <c r="M56" s="7" t="s">
        <v>87</v>
      </c>
      <c r="N56" s="15" t="s">
        <v>110</v>
      </c>
      <c r="O56" s="7" t="s">
        <v>583</v>
      </c>
      <c r="P56" s="7" t="s">
        <v>584</v>
      </c>
      <c r="Q56" s="7" t="s">
        <v>585</v>
      </c>
      <c r="R56" s="7" t="s">
        <v>490</v>
      </c>
    </row>
    <row r="57" customFormat="false" ht="69" hidden="false" customHeight="true" outlineLevel="0" collapsed="false">
      <c r="A57" s="12" t="s">
        <v>586</v>
      </c>
      <c r="B57" s="7" t="s">
        <v>519</v>
      </c>
      <c r="C57" s="7" t="s">
        <v>64</v>
      </c>
      <c r="D57" s="7"/>
      <c r="E57" s="7" t="s">
        <v>587</v>
      </c>
      <c r="F57" s="7" t="s">
        <v>66</v>
      </c>
      <c r="G57" s="17" t="s">
        <v>82</v>
      </c>
      <c r="H57" s="7" t="s">
        <v>533</v>
      </c>
      <c r="I57" s="7" t="s">
        <v>588</v>
      </c>
      <c r="J57" s="7" t="s">
        <v>589</v>
      </c>
      <c r="K57" s="14" t="s">
        <v>590</v>
      </c>
      <c r="L57" s="7" t="s">
        <v>591</v>
      </c>
      <c r="M57" s="7" t="s">
        <v>87</v>
      </c>
      <c r="N57" s="15" t="s">
        <v>99</v>
      </c>
      <c r="O57" s="7" t="s">
        <v>592</v>
      </c>
      <c r="P57" s="7" t="s">
        <v>593</v>
      </c>
      <c r="Q57" s="7" t="s">
        <v>594</v>
      </c>
      <c r="R57" s="7" t="s">
        <v>595</v>
      </c>
    </row>
    <row r="58" customFormat="false" ht="69" hidden="false" customHeight="true" outlineLevel="0" collapsed="false">
      <c r="A58" s="12" t="s">
        <v>596</v>
      </c>
      <c r="B58" s="7" t="s">
        <v>519</v>
      </c>
      <c r="C58" s="7" t="s">
        <v>64</v>
      </c>
      <c r="D58" s="7"/>
      <c r="E58" s="7" t="s">
        <v>597</v>
      </c>
      <c r="F58" s="7" t="s">
        <v>66</v>
      </c>
      <c r="G58" s="13" t="s">
        <v>67</v>
      </c>
      <c r="H58" s="7" t="s">
        <v>598</v>
      </c>
      <c r="I58" s="7" t="s">
        <v>599</v>
      </c>
      <c r="J58" s="7" t="s">
        <v>600</v>
      </c>
      <c r="K58" s="14" t="s">
        <v>601</v>
      </c>
      <c r="L58" s="7" t="s">
        <v>602</v>
      </c>
      <c r="M58" s="7" t="s">
        <v>73</v>
      </c>
      <c r="N58" s="15" t="s">
        <v>486</v>
      </c>
      <c r="O58" s="7" t="s">
        <v>603</v>
      </c>
      <c r="P58" s="7" t="s">
        <v>604</v>
      </c>
      <c r="Q58" s="7" t="s">
        <v>605</v>
      </c>
      <c r="R58" s="7" t="s">
        <v>490</v>
      </c>
    </row>
    <row r="59" customFormat="false" ht="69" hidden="false" customHeight="true" outlineLevel="0" collapsed="false">
      <c r="A59" s="12" t="s">
        <v>606</v>
      </c>
      <c r="B59" s="7" t="s">
        <v>519</v>
      </c>
      <c r="C59" s="7" t="s">
        <v>64</v>
      </c>
      <c r="D59" s="7"/>
      <c r="E59" s="7" t="s">
        <v>607</v>
      </c>
      <c r="F59" s="7" t="s">
        <v>66</v>
      </c>
      <c r="G59" s="17" t="s">
        <v>82</v>
      </c>
      <c r="H59" s="7" t="s">
        <v>608</v>
      </c>
      <c r="I59" s="7" t="s">
        <v>609</v>
      </c>
      <c r="J59" s="7" t="s">
        <v>610</v>
      </c>
      <c r="K59" s="14" t="s">
        <v>611</v>
      </c>
      <c r="L59" s="7" t="s">
        <v>612</v>
      </c>
      <c r="M59" s="7" t="s">
        <v>87</v>
      </c>
      <c r="N59" s="15" t="s">
        <v>613</v>
      </c>
      <c r="O59" s="7" t="s">
        <v>614</v>
      </c>
      <c r="P59" s="7" t="s">
        <v>615</v>
      </c>
      <c r="Q59" s="7" t="s">
        <v>616</v>
      </c>
      <c r="R59" s="7" t="s">
        <v>617</v>
      </c>
    </row>
    <row r="60" customFormat="false" ht="69" hidden="false" customHeight="true" outlineLevel="0" collapsed="false">
      <c r="A60" s="12" t="s">
        <v>618</v>
      </c>
      <c r="B60" s="7" t="s">
        <v>519</v>
      </c>
      <c r="C60" s="7" t="s">
        <v>64</v>
      </c>
      <c r="D60" s="7"/>
      <c r="E60" s="7" t="s">
        <v>619</v>
      </c>
      <c r="F60" s="7" t="s">
        <v>66</v>
      </c>
      <c r="G60" s="17" t="s">
        <v>82</v>
      </c>
      <c r="H60" s="7" t="s">
        <v>620</v>
      </c>
      <c r="I60" s="7" t="s">
        <v>621</v>
      </c>
      <c r="J60" s="7" t="s">
        <v>622</v>
      </c>
      <c r="K60" s="14" t="s">
        <v>623</v>
      </c>
      <c r="L60" s="7" t="s">
        <v>624</v>
      </c>
      <c r="M60" s="7" t="s">
        <v>261</v>
      </c>
      <c r="N60" s="15" t="s">
        <v>110</v>
      </c>
      <c r="O60" s="7" t="s">
        <v>625</v>
      </c>
      <c r="P60" s="7" t="s">
        <v>626</v>
      </c>
      <c r="Q60" s="7" t="s">
        <v>627</v>
      </c>
      <c r="R60" s="7" t="s">
        <v>628</v>
      </c>
    </row>
    <row r="61" customFormat="false" ht="18" hidden="false" customHeight="true" outlineLevel="0" collapsed="false">
      <c r="A61" s="11" t="s">
        <v>629</v>
      </c>
      <c r="B61" s="11"/>
      <c r="C61" s="11"/>
      <c r="D61" s="11"/>
      <c r="E61" s="11"/>
      <c r="F61" s="11"/>
      <c r="G61" s="11"/>
      <c r="H61" s="11"/>
      <c r="I61" s="11"/>
      <c r="J61" s="11"/>
      <c r="K61" s="11"/>
      <c r="L61" s="11"/>
      <c r="M61" s="11"/>
      <c r="N61" s="11"/>
      <c r="O61" s="11"/>
      <c r="P61" s="11"/>
      <c r="Q61" s="11"/>
      <c r="R61" s="11"/>
    </row>
    <row r="62" customFormat="false" ht="69" hidden="false" customHeight="true" outlineLevel="0" collapsed="false">
      <c r="A62" s="12" t="s">
        <v>630</v>
      </c>
      <c r="B62" s="7" t="s">
        <v>631</v>
      </c>
      <c r="C62" s="7" t="s">
        <v>632</v>
      </c>
      <c r="D62" s="7"/>
      <c r="E62" s="7" t="s">
        <v>633</v>
      </c>
      <c r="F62" s="7" t="s">
        <v>336</v>
      </c>
      <c r="G62" s="17" t="s">
        <v>82</v>
      </c>
      <c r="H62" s="7" t="s">
        <v>634</v>
      </c>
      <c r="I62" s="7" t="s">
        <v>222</v>
      </c>
      <c r="J62" s="7" t="s">
        <v>336</v>
      </c>
      <c r="K62" s="14" t="s">
        <v>635</v>
      </c>
      <c r="L62" s="7" t="s">
        <v>636</v>
      </c>
      <c r="M62" s="7" t="s">
        <v>637</v>
      </c>
      <c r="N62" s="15" t="s">
        <v>88</v>
      </c>
      <c r="O62" s="7" t="s">
        <v>638</v>
      </c>
      <c r="P62" s="7" t="s">
        <v>639</v>
      </c>
      <c r="Q62" s="7" t="s">
        <v>336</v>
      </c>
      <c r="R62" s="7" t="s">
        <v>640</v>
      </c>
    </row>
    <row r="63" customFormat="false" ht="69" hidden="false" customHeight="true" outlineLevel="0" collapsed="false">
      <c r="A63" s="12" t="s">
        <v>641</v>
      </c>
      <c r="B63" s="7" t="s">
        <v>631</v>
      </c>
      <c r="C63" s="7" t="s">
        <v>64</v>
      </c>
      <c r="D63" s="7"/>
      <c r="E63" s="7" t="s">
        <v>642</v>
      </c>
      <c r="F63" s="7" t="s">
        <v>66</v>
      </c>
      <c r="G63" s="13" t="s">
        <v>67</v>
      </c>
      <c r="H63" s="7" t="s">
        <v>68</v>
      </c>
      <c r="I63" s="7" t="s">
        <v>643</v>
      </c>
      <c r="J63" s="7" t="s">
        <v>644</v>
      </c>
      <c r="K63" s="14" t="s">
        <v>645</v>
      </c>
      <c r="L63" s="7" t="s">
        <v>646</v>
      </c>
      <c r="M63" s="7" t="s">
        <v>73</v>
      </c>
      <c r="N63" s="15" t="s">
        <v>132</v>
      </c>
      <c r="O63" s="7" t="s">
        <v>647</v>
      </c>
      <c r="P63" s="7" t="s">
        <v>648</v>
      </c>
      <c r="Q63" s="7" t="s">
        <v>649</v>
      </c>
      <c r="R63" s="7" t="s">
        <v>92</v>
      </c>
    </row>
    <row r="64" customFormat="false" ht="80.25" hidden="false" customHeight="true" outlineLevel="0" collapsed="false">
      <c r="A64" s="12" t="s">
        <v>650</v>
      </c>
      <c r="B64" s="7" t="s">
        <v>631</v>
      </c>
      <c r="C64" s="7" t="s">
        <v>64</v>
      </c>
      <c r="D64" s="7"/>
      <c r="E64" s="7" t="s">
        <v>651</v>
      </c>
      <c r="F64" s="7" t="s">
        <v>66</v>
      </c>
      <c r="G64" s="17" t="s">
        <v>82</v>
      </c>
      <c r="H64" s="7" t="s">
        <v>68</v>
      </c>
      <c r="I64" s="7" t="s">
        <v>652</v>
      </c>
      <c r="J64" s="7" t="s">
        <v>653</v>
      </c>
      <c r="K64" s="14" t="s">
        <v>654</v>
      </c>
      <c r="L64" s="7" t="s">
        <v>655</v>
      </c>
      <c r="M64" s="7" t="s">
        <v>73</v>
      </c>
      <c r="N64" s="15" t="s">
        <v>99</v>
      </c>
      <c r="O64" s="7" t="s">
        <v>656</v>
      </c>
      <c r="P64" s="7" t="s">
        <v>657</v>
      </c>
      <c r="Q64" s="7" t="s">
        <v>658</v>
      </c>
      <c r="R64" s="7" t="s">
        <v>92</v>
      </c>
    </row>
    <row r="65" customFormat="false" ht="69" hidden="false" customHeight="true" outlineLevel="0" collapsed="false">
      <c r="A65" s="12" t="s">
        <v>659</v>
      </c>
      <c r="B65" s="7" t="s">
        <v>631</v>
      </c>
      <c r="C65" s="7" t="s">
        <v>64</v>
      </c>
      <c r="D65" s="7"/>
      <c r="E65" s="7" t="s">
        <v>660</v>
      </c>
      <c r="F65" s="7" t="s">
        <v>66</v>
      </c>
      <c r="G65" s="17" t="s">
        <v>82</v>
      </c>
      <c r="H65" s="7" t="s">
        <v>68</v>
      </c>
      <c r="I65" s="7" t="s">
        <v>661</v>
      </c>
      <c r="J65" s="7" t="s">
        <v>662</v>
      </c>
      <c r="K65" s="14" t="s">
        <v>663</v>
      </c>
      <c r="L65" s="7" t="s">
        <v>664</v>
      </c>
      <c r="M65" s="7" t="s">
        <v>87</v>
      </c>
      <c r="N65" s="15" t="s">
        <v>110</v>
      </c>
      <c r="O65" s="7" t="s">
        <v>665</v>
      </c>
      <c r="P65" s="7" t="s">
        <v>666</v>
      </c>
      <c r="Q65" s="7" t="s">
        <v>667</v>
      </c>
      <c r="R65" s="7" t="s">
        <v>92</v>
      </c>
    </row>
    <row r="66" customFormat="false" ht="80.25" hidden="false" customHeight="true" outlineLevel="0" collapsed="false">
      <c r="A66" s="12" t="s">
        <v>668</v>
      </c>
      <c r="B66" s="7" t="s">
        <v>631</v>
      </c>
      <c r="C66" s="7" t="s">
        <v>64</v>
      </c>
      <c r="D66" s="7"/>
      <c r="E66" s="7" t="s">
        <v>669</v>
      </c>
      <c r="F66" s="7" t="s">
        <v>66</v>
      </c>
      <c r="G66" s="17" t="s">
        <v>82</v>
      </c>
      <c r="H66" s="7" t="s">
        <v>670</v>
      </c>
      <c r="I66" s="7" t="s">
        <v>671</v>
      </c>
      <c r="J66" s="7" t="s">
        <v>672</v>
      </c>
      <c r="K66" s="14" t="s">
        <v>673</v>
      </c>
      <c r="L66" s="7" t="s">
        <v>674</v>
      </c>
      <c r="M66" s="7" t="s">
        <v>87</v>
      </c>
      <c r="N66" s="15" t="s">
        <v>110</v>
      </c>
      <c r="O66" s="7" t="s">
        <v>675</v>
      </c>
      <c r="P66" s="7" t="s">
        <v>676</v>
      </c>
      <c r="Q66" s="7" t="s">
        <v>677</v>
      </c>
      <c r="R66" s="7" t="s">
        <v>678</v>
      </c>
    </row>
    <row r="67" customFormat="false" ht="149.25" hidden="false" customHeight="true" outlineLevel="0" collapsed="false">
      <c r="A67" s="12" t="s">
        <v>679</v>
      </c>
      <c r="B67" s="7" t="s">
        <v>631</v>
      </c>
      <c r="C67" s="7" t="s">
        <v>64</v>
      </c>
      <c r="D67" s="7"/>
      <c r="E67" s="7" t="s">
        <v>680</v>
      </c>
      <c r="F67" s="7" t="s">
        <v>66</v>
      </c>
      <c r="G67" s="19" t="s">
        <v>493</v>
      </c>
      <c r="H67" s="7" t="s">
        <v>681</v>
      </c>
      <c r="I67" s="7" t="s">
        <v>682</v>
      </c>
      <c r="J67" s="7" t="s">
        <v>662</v>
      </c>
      <c r="K67" s="14" t="s">
        <v>683</v>
      </c>
      <c r="L67" s="7" t="s">
        <v>684</v>
      </c>
      <c r="M67" s="7" t="s">
        <v>685</v>
      </c>
      <c r="N67" s="15" t="s">
        <v>539</v>
      </c>
      <c r="O67" s="7" t="s">
        <v>686</v>
      </c>
      <c r="P67" s="7" t="s">
        <v>687</v>
      </c>
      <c r="Q67" s="7" t="s">
        <v>688</v>
      </c>
      <c r="R67" s="7" t="s">
        <v>425</v>
      </c>
    </row>
    <row r="68" customFormat="false" ht="69" hidden="false" customHeight="true" outlineLevel="0" collapsed="false">
      <c r="A68" s="12" t="s">
        <v>689</v>
      </c>
      <c r="B68" s="7" t="s">
        <v>631</v>
      </c>
      <c r="C68" s="7" t="s">
        <v>64</v>
      </c>
      <c r="D68" s="7"/>
      <c r="E68" s="7" t="s">
        <v>690</v>
      </c>
      <c r="F68" s="7" t="s">
        <v>66</v>
      </c>
      <c r="G68" s="17" t="s">
        <v>82</v>
      </c>
      <c r="H68" s="7" t="s">
        <v>691</v>
      </c>
      <c r="I68" s="7" t="s">
        <v>692</v>
      </c>
      <c r="J68" s="7" t="s">
        <v>693</v>
      </c>
      <c r="K68" s="14" t="s">
        <v>694</v>
      </c>
      <c r="L68" s="7" t="s">
        <v>695</v>
      </c>
      <c r="M68" s="7" t="s">
        <v>87</v>
      </c>
      <c r="N68" s="15" t="s">
        <v>74</v>
      </c>
      <c r="O68" s="7" t="s">
        <v>696</v>
      </c>
      <c r="P68" s="7" t="s">
        <v>697</v>
      </c>
      <c r="Q68" s="7" t="s">
        <v>698</v>
      </c>
      <c r="R68" s="7" t="s">
        <v>699</v>
      </c>
    </row>
  </sheetData>
  <autoFilter ref="A2:R68"/>
  <mergeCells count="7">
    <mergeCell ref="A1:R1"/>
    <mergeCell ref="A3:R3"/>
    <mergeCell ref="A18:R18"/>
    <mergeCell ref="A35:R35"/>
    <mergeCell ref="A44:R44"/>
    <mergeCell ref="A50:R50"/>
    <mergeCell ref="A61:R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30"/>
    <col collapsed="false" customWidth="true" hidden="false" outlineLevel="0" max="4" min="4" style="0" width="66"/>
    <col collapsed="false" customWidth="true" hidden="false" outlineLevel="0" max="5" min="5" style="0" width="20"/>
  </cols>
  <sheetData>
    <row r="1" customFormat="false" ht="16.15" hidden="false" customHeight="false" outlineLevel="0" collapsed="false">
      <c r="A1" s="3" t="s">
        <v>700</v>
      </c>
      <c r="B1" s="3"/>
      <c r="C1" s="3"/>
      <c r="D1" s="3"/>
      <c r="E1" s="3"/>
    </row>
    <row r="2" customFormat="false" ht="15" hidden="false" customHeight="false" outlineLevel="0" collapsed="false">
      <c r="A2" s="20" t="s">
        <v>701</v>
      </c>
      <c r="B2" s="20"/>
      <c r="C2" s="20"/>
      <c r="D2" s="20"/>
      <c r="E2" s="20"/>
    </row>
    <row r="4" customFormat="false" ht="15" hidden="false" customHeight="false" outlineLevel="0" collapsed="false">
      <c r="A4" s="10" t="s">
        <v>702</v>
      </c>
      <c r="B4" s="10" t="s">
        <v>703</v>
      </c>
      <c r="C4" s="10" t="s">
        <v>704</v>
      </c>
      <c r="D4" s="10" t="s">
        <v>705</v>
      </c>
      <c r="E4" s="10" t="s">
        <v>706</v>
      </c>
    </row>
    <row r="5" customFormat="false" ht="15" hidden="false" customHeight="false" outlineLevel="0" collapsed="false">
      <c r="A5" s="7" t="s">
        <v>707</v>
      </c>
      <c r="B5" s="21" t="s">
        <v>708</v>
      </c>
      <c r="C5" s="22" t="s">
        <v>709</v>
      </c>
      <c r="D5" s="7" t="s">
        <v>710</v>
      </c>
      <c r="E5" s="23" t="s">
        <v>711</v>
      </c>
    </row>
    <row r="6" customFormat="false" ht="15" hidden="false" customHeight="false" outlineLevel="0" collapsed="false">
      <c r="A6" s="7" t="s">
        <v>707</v>
      </c>
      <c r="B6" s="21" t="s">
        <v>712</v>
      </c>
      <c r="C6" s="22" t="n">
        <v>1500</v>
      </c>
      <c r="D6" s="7" t="s">
        <v>713</v>
      </c>
      <c r="E6" s="23" t="s">
        <v>714</v>
      </c>
    </row>
    <row r="7" customFormat="false" ht="15" hidden="false" customHeight="false" outlineLevel="0" collapsed="false">
      <c r="A7" s="7" t="s">
        <v>707</v>
      </c>
      <c r="B7" s="21" t="s">
        <v>715</v>
      </c>
      <c r="C7" s="22" t="n">
        <v>180</v>
      </c>
      <c r="D7" s="7" t="s">
        <v>716</v>
      </c>
      <c r="E7" s="23" t="s">
        <v>714</v>
      </c>
    </row>
    <row r="8" customFormat="false" ht="15" hidden="false" customHeight="false" outlineLevel="0" collapsed="false">
      <c r="A8" s="7" t="s">
        <v>707</v>
      </c>
      <c r="B8" s="21" t="s">
        <v>717</v>
      </c>
      <c r="C8" s="22" t="s">
        <v>718</v>
      </c>
      <c r="D8" s="7" t="s">
        <v>719</v>
      </c>
      <c r="E8" s="23" t="s">
        <v>720</v>
      </c>
    </row>
    <row r="9" customFormat="false" ht="15" hidden="false" customHeight="false" outlineLevel="0" collapsed="false">
      <c r="A9" s="7" t="s">
        <v>707</v>
      </c>
      <c r="B9" s="21" t="s">
        <v>721</v>
      </c>
      <c r="C9" s="22" t="n">
        <v>10000</v>
      </c>
      <c r="D9" s="7" t="s">
        <v>722</v>
      </c>
      <c r="E9" s="23" t="s">
        <v>714</v>
      </c>
    </row>
    <row r="10" customFormat="false" ht="15" hidden="false" customHeight="false" outlineLevel="0" collapsed="false">
      <c r="A10" s="7" t="s">
        <v>723</v>
      </c>
      <c r="B10" s="21" t="s">
        <v>724</v>
      </c>
      <c r="C10" s="22" t="s">
        <v>725</v>
      </c>
      <c r="D10" s="7" t="s">
        <v>726</v>
      </c>
      <c r="E10" s="23" t="s">
        <v>720</v>
      </c>
    </row>
    <row r="11" customFormat="false" ht="15" hidden="false" customHeight="false" outlineLevel="0" collapsed="false">
      <c r="A11" s="7" t="s">
        <v>723</v>
      </c>
      <c r="B11" s="21" t="s">
        <v>727</v>
      </c>
      <c r="C11" s="22" t="s">
        <v>728</v>
      </c>
      <c r="D11" s="7" t="s">
        <v>729</v>
      </c>
      <c r="E11" s="23" t="s">
        <v>730</v>
      </c>
    </row>
    <row r="12" customFormat="false" ht="15" hidden="false" customHeight="false" outlineLevel="0" collapsed="false">
      <c r="A12" s="7" t="s">
        <v>723</v>
      </c>
      <c r="B12" s="21" t="s">
        <v>731</v>
      </c>
      <c r="C12" s="22" t="s">
        <v>718</v>
      </c>
      <c r="D12" s="7" t="s">
        <v>732</v>
      </c>
      <c r="E12" s="23" t="s">
        <v>720</v>
      </c>
    </row>
    <row r="13" customFormat="false" ht="15" hidden="false" customHeight="false" outlineLevel="0" collapsed="false">
      <c r="A13" s="7" t="s">
        <v>733</v>
      </c>
      <c r="B13" s="21" t="s">
        <v>734</v>
      </c>
      <c r="C13" s="22" t="n">
        <v>1024</v>
      </c>
      <c r="D13" s="7" t="s">
        <v>735</v>
      </c>
      <c r="E13" s="23" t="s">
        <v>714</v>
      </c>
    </row>
    <row r="14" customFormat="false" ht="15" hidden="false" customHeight="false" outlineLevel="0" collapsed="false">
      <c r="A14" s="7" t="s">
        <v>733</v>
      </c>
      <c r="B14" s="21" t="s">
        <v>736</v>
      </c>
      <c r="C14" s="22" t="n">
        <v>1000000</v>
      </c>
      <c r="D14" s="7" t="s">
        <v>737</v>
      </c>
      <c r="E14" s="23" t="s">
        <v>714</v>
      </c>
    </row>
    <row r="15" customFormat="false" ht="15" hidden="false" customHeight="false" outlineLevel="0" collapsed="false">
      <c r="A15" s="7" t="s">
        <v>738</v>
      </c>
      <c r="B15" s="21" t="s">
        <v>739</v>
      </c>
      <c r="C15" s="22" t="n">
        <v>0.95</v>
      </c>
      <c r="D15" s="7" t="s">
        <v>740</v>
      </c>
      <c r="E15" s="23" t="s">
        <v>741</v>
      </c>
    </row>
    <row r="16" customFormat="false" ht="15" hidden="false" customHeight="false" outlineLevel="0" collapsed="false">
      <c r="A16" s="7" t="s">
        <v>738</v>
      </c>
      <c r="B16" s="21" t="s">
        <v>742</v>
      </c>
      <c r="C16" s="22" t="n">
        <v>0.6</v>
      </c>
      <c r="D16" s="7" t="s">
        <v>743</v>
      </c>
      <c r="E16" s="23" t="s">
        <v>741</v>
      </c>
    </row>
    <row r="17" customFormat="false" ht="15" hidden="false" customHeight="false" outlineLevel="0" collapsed="false">
      <c r="A17" s="7" t="s">
        <v>738</v>
      </c>
      <c r="B17" s="21" t="s">
        <v>744</v>
      </c>
      <c r="C17" s="22" t="n">
        <v>0.85</v>
      </c>
      <c r="D17" s="7" t="s">
        <v>745</v>
      </c>
      <c r="E17" s="23" t="s">
        <v>741</v>
      </c>
    </row>
    <row r="18" customFormat="false" ht="15" hidden="false" customHeight="false" outlineLevel="0" collapsed="false">
      <c r="A18" s="7" t="s">
        <v>738</v>
      </c>
      <c r="B18" s="21" t="s">
        <v>746</v>
      </c>
      <c r="C18" s="22" t="n">
        <v>0.5</v>
      </c>
      <c r="D18" s="7" t="s">
        <v>747</v>
      </c>
      <c r="E18" s="23" t="s">
        <v>741</v>
      </c>
    </row>
    <row r="19" customFormat="false" ht="15" hidden="false" customHeight="false" outlineLevel="0" collapsed="false">
      <c r="A19" s="7" t="s">
        <v>738</v>
      </c>
      <c r="B19" s="21" t="s">
        <v>748</v>
      </c>
      <c r="C19" s="22" t="n">
        <v>0.85</v>
      </c>
      <c r="D19" s="7" t="s">
        <v>749</v>
      </c>
      <c r="E19" s="23" t="s">
        <v>741</v>
      </c>
    </row>
    <row r="20" customFormat="false" ht="15" hidden="false" customHeight="false" outlineLevel="0" collapsed="false">
      <c r="A20" s="7" t="s">
        <v>738</v>
      </c>
      <c r="B20" s="21" t="s">
        <v>750</v>
      </c>
      <c r="C20" s="22" t="n">
        <v>0.8</v>
      </c>
      <c r="D20" s="7" t="s">
        <v>751</v>
      </c>
      <c r="E20" s="23" t="s">
        <v>741</v>
      </c>
    </row>
    <row r="21" customFormat="false" ht="15" hidden="false" customHeight="false" outlineLevel="0" collapsed="false">
      <c r="A21" s="7" t="s">
        <v>752</v>
      </c>
      <c r="B21" s="21" t="s">
        <v>753</v>
      </c>
      <c r="C21" s="22" t="n">
        <v>40</v>
      </c>
      <c r="D21" s="7" t="s">
        <v>754</v>
      </c>
      <c r="E21" s="23" t="s">
        <v>714</v>
      </c>
    </row>
    <row r="22" customFormat="false" ht="22.35" hidden="false" customHeight="false" outlineLevel="0" collapsed="false">
      <c r="A22" s="7" t="s">
        <v>752</v>
      </c>
      <c r="B22" s="21" t="s">
        <v>755</v>
      </c>
      <c r="C22" s="22" t="s">
        <v>756</v>
      </c>
      <c r="D22" s="7" t="s">
        <v>757</v>
      </c>
      <c r="E22" s="23" t="s">
        <v>758</v>
      </c>
    </row>
    <row r="23" customFormat="false" ht="22.35" hidden="false" customHeight="false" outlineLevel="0" collapsed="false">
      <c r="A23" s="7" t="s">
        <v>752</v>
      </c>
      <c r="B23" s="21" t="s">
        <v>759</v>
      </c>
      <c r="C23" s="22" t="s">
        <v>760</v>
      </c>
      <c r="D23" s="7" t="s">
        <v>761</v>
      </c>
      <c r="E23" s="23" t="s">
        <v>758</v>
      </c>
    </row>
    <row r="24" customFormat="false" ht="15" hidden="false" customHeight="false" outlineLevel="0" collapsed="false">
      <c r="A24" s="7" t="s">
        <v>752</v>
      </c>
      <c r="B24" s="21" t="s">
        <v>762</v>
      </c>
      <c r="C24" s="22" t="s">
        <v>763</v>
      </c>
      <c r="D24" s="7" t="s">
        <v>764</v>
      </c>
      <c r="E24" s="23" t="s">
        <v>758</v>
      </c>
    </row>
    <row r="25" customFormat="false" ht="15" hidden="false" customHeight="false" outlineLevel="0" collapsed="false">
      <c r="A25" s="7" t="s">
        <v>375</v>
      </c>
      <c r="B25" s="21" t="s">
        <v>765</v>
      </c>
      <c r="C25" s="22" t="n">
        <v>60</v>
      </c>
      <c r="D25" s="7" t="s">
        <v>766</v>
      </c>
      <c r="E25" s="23" t="s">
        <v>714</v>
      </c>
    </row>
    <row r="26" customFormat="false" ht="15" hidden="false" customHeight="false" outlineLevel="0" collapsed="false">
      <c r="A26" s="7" t="s">
        <v>375</v>
      </c>
      <c r="B26" s="21" t="s">
        <v>767</v>
      </c>
      <c r="C26" s="22" t="n">
        <v>60</v>
      </c>
      <c r="D26" s="7" t="s">
        <v>768</v>
      </c>
      <c r="E26" s="23" t="s">
        <v>714</v>
      </c>
    </row>
    <row r="27" customFormat="false" ht="15" hidden="false" customHeight="false" outlineLevel="0" collapsed="false">
      <c r="A27" s="7" t="s">
        <v>375</v>
      </c>
      <c r="B27" s="21" t="s">
        <v>769</v>
      </c>
      <c r="C27" s="22" t="n">
        <v>120</v>
      </c>
      <c r="D27" s="7" t="s">
        <v>770</v>
      </c>
      <c r="E27" s="23" t="s">
        <v>714</v>
      </c>
    </row>
    <row r="28" customFormat="false" ht="15" hidden="false" customHeight="false" outlineLevel="0" collapsed="false">
      <c r="A28" s="7" t="s">
        <v>375</v>
      </c>
      <c r="B28" s="21" t="s">
        <v>771</v>
      </c>
      <c r="C28" s="22" t="n">
        <v>0.15</v>
      </c>
      <c r="D28" s="7" t="s">
        <v>772</v>
      </c>
      <c r="E28" s="23" t="s">
        <v>741</v>
      </c>
    </row>
    <row r="29" customFormat="false" ht="15" hidden="false" customHeight="false" outlineLevel="0" collapsed="false">
      <c r="A29" s="7" t="s">
        <v>375</v>
      </c>
      <c r="B29" s="21" t="s">
        <v>773</v>
      </c>
      <c r="C29" s="22" t="n">
        <v>8</v>
      </c>
      <c r="D29" s="7" t="s">
        <v>774</v>
      </c>
      <c r="E29" s="23" t="s">
        <v>714</v>
      </c>
    </row>
    <row r="30" customFormat="false" ht="15" hidden="false" customHeight="false" outlineLevel="0" collapsed="false">
      <c r="A30" s="7" t="s">
        <v>375</v>
      </c>
      <c r="B30" s="21" t="s">
        <v>775</v>
      </c>
      <c r="C30" s="22" t="n">
        <v>3</v>
      </c>
      <c r="D30" s="7" t="s">
        <v>776</v>
      </c>
      <c r="E30" s="23" t="s">
        <v>714</v>
      </c>
    </row>
    <row r="31" customFormat="false" ht="15" hidden="false" customHeight="false" outlineLevel="0" collapsed="false">
      <c r="A31" s="7" t="s">
        <v>375</v>
      </c>
      <c r="B31" s="21" t="s">
        <v>777</v>
      </c>
      <c r="C31" s="22" t="n">
        <v>0.85</v>
      </c>
      <c r="D31" s="7" t="s">
        <v>778</v>
      </c>
      <c r="E31" s="23" t="s">
        <v>741</v>
      </c>
    </row>
    <row r="32" customFormat="false" ht="15" hidden="false" customHeight="false" outlineLevel="0" collapsed="false">
      <c r="A32" s="7" t="s">
        <v>375</v>
      </c>
      <c r="B32" s="21" t="s">
        <v>779</v>
      </c>
      <c r="C32" s="22" t="n">
        <v>3</v>
      </c>
      <c r="D32" s="7" t="s">
        <v>780</v>
      </c>
      <c r="E32" s="23" t="s">
        <v>714</v>
      </c>
    </row>
    <row r="33" customFormat="false" ht="15" hidden="false" customHeight="false" outlineLevel="0" collapsed="false">
      <c r="A33" s="7" t="s">
        <v>375</v>
      </c>
      <c r="B33" s="21" t="s">
        <v>781</v>
      </c>
      <c r="C33" s="22" t="n">
        <v>8</v>
      </c>
      <c r="D33" s="7" t="s">
        <v>782</v>
      </c>
      <c r="E33" s="23" t="s">
        <v>714</v>
      </c>
    </row>
    <row r="34" customFormat="false" ht="15" hidden="false" customHeight="false" outlineLevel="0" collapsed="false">
      <c r="A34" s="7" t="s">
        <v>63</v>
      </c>
      <c r="B34" s="21" t="s">
        <v>783</v>
      </c>
      <c r="C34" s="22" t="n">
        <v>12</v>
      </c>
      <c r="D34" s="7" t="s">
        <v>784</v>
      </c>
      <c r="E34" s="23" t="s">
        <v>714</v>
      </c>
    </row>
    <row r="35" customFormat="false" ht="15" hidden="false" customHeight="false" outlineLevel="0" collapsed="false">
      <c r="A35" s="7" t="s">
        <v>63</v>
      </c>
      <c r="B35" s="21" t="s">
        <v>785</v>
      </c>
      <c r="C35" s="22" t="n">
        <v>120</v>
      </c>
      <c r="D35" s="7" t="s">
        <v>786</v>
      </c>
      <c r="E35" s="23" t="s">
        <v>714</v>
      </c>
    </row>
    <row r="36" customFormat="false" ht="15" hidden="false" customHeight="false" outlineLevel="0" collapsed="false">
      <c r="A36" s="7" t="s">
        <v>63</v>
      </c>
      <c r="B36" s="21" t="s">
        <v>787</v>
      </c>
      <c r="C36" s="22" t="n">
        <v>3</v>
      </c>
      <c r="D36" s="7" t="s">
        <v>788</v>
      </c>
      <c r="E36" s="23" t="s">
        <v>714</v>
      </c>
    </row>
    <row r="37" customFormat="false" ht="15" hidden="false" customHeight="false" outlineLevel="0" collapsed="false">
      <c r="A37" s="7" t="s">
        <v>63</v>
      </c>
      <c r="B37" s="21" t="s">
        <v>789</v>
      </c>
      <c r="C37" s="22" t="s">
        <v>790</v>
      </c>
      <c r="D37" s="7" t="s">
        <v>791</v>
      </c>
      <c r="E37" s="23" t="s">
        <v>758</v>
      </c>
    </row>
    <row r="38" customFormat="false" ht="15" hidden="false" customHeight="false" outlineLevel="0" collapsed="false">
      <c r="A38" s="7" t="s">
        <v>222</v>
      </c>
      <c r="B38" s="21" t="s">
        <v>792</v>
      </c>
      <c r="C38" s="22" t="n">
        <v>20</v>
      </c>
      <c r="D38" s="7" t="s">
        <v>793</v>
      </c>
      <c r="E38" s="23" t="s">
        <v>714</v>
      </c>
    </row>
    <row r="39" customFormat="false" ht="15" hidden="false" customHeight="false" outlineLevel="0" collapsed="false">
      <c r="A39" s="7" t="s">
        <v>222</v>
      </c>
      <c r="B39" s="21" t="s">
        <v>794</v>
      </c>
      <c r="C39" s="22" t="n">
        <v>60</v>
      </c>
      <c r="D39" s="7" t="s">
        <v>795</v>
      </c>
      <c r="E39" s="23" t="s">
        <v>714</v>
      </c>
    </row>
    <row r="40" customFormat="false" ht="15" hidden="false" customHeight="false" outlineLevel="0" collapsed="false">
      <c r="A40" s="7" t="s">
        <v>222</v>
      </c>
      <c r="B40" s="21" t="s">
        <v>796</v>
      </c>
      <c r="C40" s="22" t="n">
        <v>10</v>
      </c>
      <c r="D40" s="7" t="s">
        <v>797</v>
      </c>
      <c r="E40" s="23" t="s">
        <v>714</v>
      </c>
    </row>
    <row r="41" customFormat="false" ht="15" hidden="false" customHeight="false" outlineLevel="0" collapsed="false">
      <c r="A41" s="7" t="s">
        <v>222</v>
      </c>
      <c r="B41" s="21" t="s">
        <v>798</v>
      </c>
      <c r="C41" s="22" t="n">
        <v>5</v>
      </c>
      <c r="D41" s="7" t="s">
        <v>799</v>
      </c>
      <c r="E41" s="23" t="s">
        <v>714</v>
      </c>
    </row>
    <row r="42" customFormat="false" ht="15" hidden="false" customHeight="false" outlineLevel="0" collapsed="false">
      <c r="A42" s="7" t="s">
        <v>800</v>
      </c>
      <c r="B42" s="21" t="s">
        <v>801</v>
      </c>
      <c r="C42" s="22" t="n">
        <v>8</v>
      </c>
      <c r="D42" s="7" t="s">
        <v>802</v>
      </c>
      <c r="E42" s="23" t="s">
        <v>714</v>
      </c>
    </row>
    <row r="43" customFormat="false" ht="15" hidden="false" customHeight="false" outlineLevel="0" collapsed="false">
      <c r="A43" s="7" t="s">
        <v>800</v>
      </c>
      <c r="B43" s="21" t="s">
        <v>803</v>
      </c>
      <c r="C43" s="22" t="n">
        <v>4</v>
      </c>
      <c r="D43" s="7" t="s">
        <v>804</v>
      </c>
      <c r="E43" s="23" t="s">
        <v>714</v>
      </c>
    </row>
    <row r="44" customFormat="false" ht="22.35" hidden="false" customHeight="false" outlineLevel="0" collapsed="false">
      <c r="A44" s="7" t="s">
        <v>800</v>
      </c>
      <c r="B44" s="21" t="s">
        <v>805</v>
      </c>
      <c r="C44" s="22" t="s">
        <v>806</v>
      </c>
      <c r="D44" s="7" t="s">
        <v>807</v>
      </c>
      <c r="E44" s="23" t="s">
        <v>808</v>
      </c>
    </row>
    <row r="45" customFormat="false" ht="15" hidden="false" customHeight="false" outlineLevel="0" collapsed="false">
      <c r="A45" s="7" t="s">
        <v>800</v>
      </c>
      <c r="B45" s="21" t="s">
        <v>809</v>
      </c>
      <c r="C45" s="22" t="n">
        <v>5</v>
      </c>
      <c r="D45" s="7" t="s">
        <v>810</v>
      </c>
      <c r="E45" s="23" t="s">
        <v>714</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5" min="2" style="0" width="18"/>
    <col collapsed="false" customWidth="true" hidden="false" outlineLevel="0" max="6" min="6" style="0" width="22"/>
  </cols>
  <sheetData>
    <row r="1" customFormat="false" ht="16.15" hidden="false" customHeight="false" outlineLevel="0" collapsed="false">
      <c r="A1" s="3" t="s">
        <v>811</v>
      </c>
      <c r="B1" s="3"/>
      <c r="C1" s="3"/>
      <c r="D1" s="3"/>
      <c r="E1" s="3"/>
      <c r="F1" s="3"/>
    </row>
    <row r="2" customFormat="false" ht="15" hidden="false" customHeight="false" outlineLevel="0" collapsed="false">
      <c r="A2" s="20" t="s">
        <v>812</v>
      </c>
      <c r="B2" s="20"/>
      <c r="C2" s="20"/>
      <c r="D2" s="20"/>
      <c r="E2" s="20"/>
      <c r="F2" s="20"/>
    </row>
    <row r="4" customFormat="false" ht="30" hidden="false" customHeight="true" outlineLevel="0" collapsed="false">
      <c r="A4" s="10" t="s">
        <v>44</v>
      </c>
      <c r="B4" s="10" t="s">
        <v>813</v>
      </c>
      <c r="C4" s="10" t="s">
        <v>17</v>
      </c>
      <c r="D4" s="10" t="s">
        <v>19</v>
      </c>
      <c r="E4" s="10" t="s">
        <v>21</v>
      </c>
      <c r="F4" s="10" t="s">
        <v>814</v>
      </c>
    </row>
    <row r="5" customFormat="false" ht="15" hidden="false" customHeight="false" outlineLevel="0" collapsed="false">
      <c r="A5" s="24" t="s">
        <v>63</v>
      </c>
      <c r="B5" s="15" t="n">
        <f aca="false">COUNTIFS(Algorithmes_Regles!$B$3:$B$68,$A5,Algorithmes_Regles!$C$3:$C$68,"&lt;&gt;Précondition")</f>
        <v>14</v>
      </c>
      <c r="C5" s="15" t="n">
        <f aca="false">COUNTIFS(Algorithmes_Regles!$B$3:$B$68,$A5,Algorithmes_Regles!$G$3:$G$68,"A",Algorithmes_Regles!$C$3:$C$68,"&lt;&gt;Précondition")</f>
        <v>10</v>
      </c>
      <c r="D5" s="15" t="n">
        <f aca="false">COUNTIFS(Algorithmes_Regles!$B$3:$B$68,$A5,Algorithmes_Regles!$G$3:$G$68,"B",Algorithmes_Regles!$C$3:$C$68,"&lt;&gt;Précondition")</f>
        <v>4</v>
      </c>
      <c r="E5" s="15" t="n">
        <f aca="false">COUNTIFS(Algorithmes_Regles!$B$3:$B$68,$A5,Algorithmes_Regles!$G$3:$G$68,"C",Algorithmes_Regles!$C$3:$C$68,"&lt;&gt;Précondition")</f>
        <v>0</v>
      </c>
      <c r="F5" s="25" t="n">
        <f aca="false">IFERROR(($C5+$D5)/$B5,0)</f>
        <v>1</v>
      </c>
    </row>
    <row r="6" customFormat="false" ht="15" hidden="false" customHeight="false" outlineLevel="0" collapsed="false">
      <c r="A6" s="24" t="s">
        <v>222</v>
      </c>
      <c r="B6" s="15" t="n">
        <f aca="false">COUNTIFS(Algorithmes_Regles!$B$3:$B$68,$A6,Algorithmes_Regles!$C$3:$C$68,"&lt;&gt;Précondition")</f>
        <v>16</v>
      </c>
      <c r="C6" s="15" t="n">
        <f aca="false">COUNTIFS(Algorithmes_Regles!$B$3:$B$68,$A6,Algorithmes_Regles!$G$3:$G$68,"A",Algorithmes_Regles!$C$3:$C$68,"&lt;&gt;Précondition")</f>
        <v>12</v>
      </c>
      <c r="D6" s="15" t="n">
        <f aca="false">COUNTIFS(Algorithmes_Regles!$B$3:$B$68,$A6,Algorithmes_Regles!$G$3:$G$68,"B",Algorithmes_Regles!$C$3:$C$68,"&lt;&gt;Précondition")</f>
        <v>4</v>
      </c>
      <c r="E6" s="15" t="n">
        <f aca="false">COUNTIFS(Algorithmes_Regles!$B$3:$B$68,$A6,Algorithmes_Regles!$G$3:$G$68,"C",Algorithmes_Regles!$C$3:$C$68,"&lt;&gt;Précondition")</f>
        <v>0</v>
      </c>
      <c r="F6" s="25" t="n">
        <f aca="false">IFERROR(($C6+$D6)/$B6,0)</f>
        <v>1</v>
      </c>
    </row>
    <row r="7" customFormat="false" ht="15" hidden="false" customHeight="false" outlineLevel="0" collapsed="false">
      <c r="A7" s="24" t="s">
        <v>375</v>
      </c>
      <c r="B7" s="15" t="n">
        <f aca="false">COUNTIFS(Algorithmes_Regles!$B$3:$B$68,$A7,Algorithmes_Regles!$C$3:$C$68,"&lt;&gt;Précondition")</f>
        <v>8</v>
      </c>
      <c r="C7" s="15" t="n">
        <f aca="false">COUNTIFS(Algorithmes_Regles!$B$3:$B$68,$A7,Algorithmes_Regles!$G$3:$G$68,"A",Algorithmes_Regles!$C$3:$C$68,"&lt;&gt;Précondition")</f>
        <v>4</v>
      </c>
      <c r="D7" s="15" t="n">
        <f aca="false">COUNTIFS(Algorithmes_Regles!$B$3:$B$68,$A7,Algorithmes_Regles!$G$3:$G$68,"B",Algorithmes_Regles!$C$3:$C$68,"&lt;&gt;Précondition")</f>
        <v>4</v>
      </c>
      <c r="E7" s="15" t="n">
        <f aca="false">COUNTIFS(Algorithmes_Regles!$B$3:$B$68,$A7,Algorithmes_Regles!$G$3:$G$68,"C",Algorithmes_Regles!$C$3:$C$68,"&lt;&gt;Précondition")</f>
        <v>0</v>
      </c>
      <c r="F7" s="25" t="n">
        <f aca="false">IFERROR(($C7+$D7)/$B7,0)</f>
        <v>1</v>
      </c>
    </row>
    <row r="8" customFormat="false" ht="15" hidden="false" customHeight="false" outlineLevel="0" collapsed="false">
      <c r="A8" s="24" t="s">
        <v>460</v>
      </c>
      <c r="B8" s="15" t="n">
        <f aca="false">COUNTIFS(Algorithmes_Regles!$B$3:$B$68,$A8,Algorithmes_Regles!$C$3:$C$68,"&lt;&gt;Précondition")</f>
        <v>5</v>
      </c>
      <c r="C8" s="15" t="n">
        <f aca="false">COUNTIFS(Algorithmes_Regles!$B$3:$B$68,$A8,Algorithmes_Regles!$G$3:$G$68,"A",Algorithmes_Regles!$C$3:$C$68,"&lt;&gt;Précondition")</f>
        <v>3</v>
      </c>
      <c r="D8" s="15" t="n">
        <f aca="false">COUNTIFS(Algorithmes_Regles!$B$3:$B$68,$A8,Algorithmes_Regles!$G$3:$G$68,"B",Algorithmes_Regles!$C$3:$C$68,"&lt;&gt;Précondition")</f>
        <v>1</v>
      </c>
      <c r="E8" s="15" t="n">
        <f aca="false">COUNTIFS(Algorithmes_Regles!$B$3:$B$68,$A8,Algorithmes_Regles!$G$3:$G$68,"C",Algorithmes_Regles!$C$3:$C$68,"&lt;&gt;Précondition")</f>
        <v>1</v>
      </c>
      <c r="F8" s="25" t="n">
        <f aca="false">IFERROR(($C8+$D8)/$B8,0)</f>
        <v>0.8</v>
      </c>
    </row>
    <row r="9" customFormat="false" ht="15" hidden="false" customHeight="false" outlineLevel="0" collapsed="false">
      <c r="A9" s="24" t="s">
        <v>519</v>
      </c>
      <c r="B9" s="15" t="n">
        <f aca="false">COUNTIFS(Algorithmes_Regles!$B$3:$B$68,$A9,Algorithmes_Regles!$C$3:$C$68,"&lt;&gt;Précondition")</f>
        <v>10</v>
      </c>
      <c r="C9" s="15" t="n">
        <f aca="false">COUNTIFS(Algorithmes_Regles!$B$3:$B$68,$A9,Algorithmes_Regles!$G$3:$G$68,"A",Algorithmes_Regles!$C$3:$C$68,"&lt;&gt;Précondition")</f>
        <v>6</v>
      </c>
      <c r="D9" s="15" t="n">
        <f aca="false">COUNTIFS(Algorithmes_Regles!$B$3:$B$68,$A9,Algorithmes_Regles!$G$3:$G$68,"B",Algorithmes_Regles!$C$3:$C$68,"&lt;&gt;Précondition")</f>
        <v>3</v>
      </c>
      <c r="E9" s="15" t="n">
        <f aca="false">COUNTIFS(Algorithmes_Regles!$B$3:$B$68,$A9,Algorithmes_Regles!$G$3:$G$68,"C",Algorithmes_Regles!$C$3:$C$68,"&lt;&gt;Précondition")</f>
        <v>1</v>
      </c>
      <c r="F9" s="25" t="n">
        <f aca="false">IFERROR(($C9+$D9)/$B9,0)</f>
        <v>0.9</v>
      </c>
    </row>
    <row r="10" customFormat="false" ht="15" hidden="false" customHeight="false" outlineLevel="0" collapsed="false">
      <c r="A10" s="24" t="s">
        <v>631</v>
      </c>
      <c r="B10" s="15" t="n">
        <f aca="false">COUNTIFS(Algorithmes_Regles!$B$3:$B$68,$A10,Algorithmes_Regles!$C$3:$C$68,"&lt;&gt;Précondition")</f>
        <v>6</v>
      </c>
      <c r="C10" s="15" t="n">
        <f aca="false">COUNTIFS(Algorithmes_Regles!$B$3:$B$68,$A10,Algorithmes_Regles!$G$3:$G$68,"A",Algorithmes_Regles!$C$3:$C$68,"&lt;&gt;Précondition")</f>
        <v>4</v>
      </c>
      <c r="D10" s="15" t="n">
        <f aca="false">COUNTIFS(Algorithmes_Regles!$B$3:$B$68,$A10,Algorithmes_Regles!$G$3:$G$68,"B",Algorithmes_Regles!$C$3:$C$68,"&lt;&gt;Précondition")</f>
        <v>1</v>
      </c>
      <c r="E10" s="15" t="n">
        <f aca="false">COUNTIFS(Algorithmes_Regles!$B$3:$B$68,$A10,Algorithmes_Regles!$G$3:$G$68,"C",Algorithmes_Regles!$C$3:$C$68,"&lt;&gt;Précondition")</f>
        <v>1</v>
      </c>
      <c r="F10" s="25" t="n">
        <f aca="false">IFERROR(($C10+$D10)/$B10,0)</f>
        <v>0.833333333333333</v>
      </c>
    </row>
    <row r="11" customFormat="false" ht="15" hidden="false" customHeight="false" outlineLevel="0" collapsed="false">
      <c r="A11" s="26" t="s">
        <v>815</v>
      </c>
      <c r="B11" s="27" t="n">
        <f aca="false">SUM(B5:B10)</f>
        <v>59</v>
      </c>
      <c r="C11" s="27" t="n">
        <f aca="false">SUM(C5:C10)</f>
        <v>39</v>
      </c>
      <c r="D11" s="27" t="n">
        <f aca="false">SUM(D5:D10)</f>
        <v>17</v>
      </c>
      <c r="E11" s="27" t="n">
        <f aca="false">SUM(E5:E10)</f>
        <v>3</v>
      </c>
      <c r="F11" s="28" t="n">
        <f aca="false">IFERROR(($C11+$D11)/$B11,0)</f>
        <v>0.949152542372881</v>
      </c>
    </row>
    <row r="13" customFormat="false" ht="15" hidden="false" customHeight="false" outlineLevel="0" collapsed="false">
      <c r="A13" s="29" t="s">
        <v>816</v>
      </c>
    </row>
    <row r="14" customFormat="false" ht="35.05" hidden="false" customHeight="false" outlineLevel="0" collapsed="false">
      <c r="A14" s="10" t="s">
        <v>48</v>
      </c>
      <c r="B14" s="10" t="s">
        <v>813</v>
      </c>
      <c r="C14" s="10" t="s">
        <v>817</v>
      </c>
      <c r="D14" s="10" t="s">
        <v>818</v>
      </c>
    </row>
    <row r="15" customFormat="false" ht="15" hidden="false" customHeight="false" outlineLevel="0" collapsed="false">
      <c r="A15" s="24" t="s">
        <v>176</v>
      </c>
      <c r="B15" s="15" t="n">
        <f aca="false">COUNTIF(Algorithmes_Regles!$F$3:$F$68,$A15)</f>
        <v>12</v>
      </c>
      <c r="C15" s="15" t="n">
        <f aca="false">COUNTIFS(Algorithmes_Regles!$F$3:$F$68,$A15,Algorithmes_Regles!$G$3:$G$68,"A")+COUNTIFS(Algorithmes_Regles!$F$3:$F$68,$A15,Algorithmes_Regles!$G$3:$G$68,"B")</f>
        <v>12</v>
      </c>
      <c r="D15" s="25" t="n">
        <f aca="false">IFERROR($C15/$B15,0)</f>
        <v>1</v>
      </c>
    </row>
    <row r="16" customFormat="false" ht="15" hidden="false" customHeight="false" outlineLevel="0" collapsed="false">
      <c r="A16" s="24" t="s">
        <v>66</v>
      </c>
      <c r="B16" s="15" t="n">
        <f aca="false">COUNTIF(Algorithmes_Regles!$F$3:$F$68,$A16)</f>
        <v>46</v>
      </c>
      <c r="C16" s="15" t="n">
        <f aca="false">COUNTIFS(Algorithmes_Regles!$F$3:$F$68,$A16,Algorithmes_Regles!$G$3:$G$68,"A")+COUNTIFS(Algorithmes_Regles!$F$3:$F$68,$A16,Algorithmes_Regles!$G$3:$G$68,"B")</f>
        <v>43</v>
      </c>
      <c r="D16" s="25" t="n">
        <f aca="false">IFERROR($C16/$B16,0)</f>
        <v>0.934782608695652</v>
      </c>
    </row>
    <row r="17" customFormat="false" ht="15" hidden="false" customHeight="false" outlineLevel="0" collapsed="false">
      <c r="A17" s="24" t="s">
        <v>439</v>
      </c>
      <c r="B17" s="15" t="n">
        <f aca="false">COUNTIF(Algorithmes_Regles!$F$3:$F$68,$A17)</f>
        <v>1</v>
      </c>
      <c r="C17" s="15" t="n">
        <f aca="false">COUNTIFS(Algorithmes_Regles!$F$3:$F$68,$A17,Algorithmes_Regles!$G$3:$G$68,"A")+COUNTIFS(Algorithmes_Regles!$F$3:$F$68,$A17,Algorithmes_Regles!$G$3:$G$68,"B")</f>
        <v>1</v>
      </c>
      <c r="D17" s="25" t="n">
        <f aca="false">IFERROR($C17/$B17,0)</f>
        <v>1</v>
      </c>
    </row>
    <row r="19" customFormat="false" ht="15" hidden="false" customHeight="true" outlineLevel="0" collapsed="false">
      <c r="A19" s="30" t="s">
        <v>819</v>
      </c>
      <c r="B19" s="30"/>
      <c r="C19" s="30"/>
      <c r="D19" s="30"/>
      <c r="E19" s="30"/>
      <c r="F19" s="30"/>
    </row>
    <row r="20" customFormat="false" ht="15" hidden="false" customHeight="false" outlineLevel="0" collapsed="false">
      <c r="A20" s="30"/>
      <c r="B20" s="30"/>
      <c r="C20" s="30"/>
      <c r="D20" s="30"/>
      <c r="E20" s="30"/>
      <c r="F20" s="30"/>
    </row>
  </sheetData>
  <mergeCells count="3">
    <mergeCell ref="A1:F1"/>
    <mergeCell ref="A2:F2"/>
    <mergeCell ref="A19: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74"/>
    <col collapsed="false" customWidth="true" hidden="false" outlineLevel="0" max="3" min="3" style="0" width="26"/>
    <col collapsed="false" customWidth="true" hidden="false" outlineLevel="0" max="4" min="4" style="0" width="28"/>
    <col collapsed="false" customWidth="true" hidden="false" outlineLevel="0" max="5" min="5" style="0" width="34"/>
  </cols>
  <sheetData>
    <row r="1" customFormat="false" ht="16.15" hidden="false" customHeight="false" outlineLevel="0" collapsed="false">
      <c r="A1" s="3" t="s">
        <v>820</v>
      </c>
      <c r="B1" s="3"/>
      <c r="C1" s="3"/>
      <c r="D1" s="3"/>
      <c r="E1" s="3"/>
    </row>
    <row r="2" customFormat="false" ht="15" hidden="false" customHeight="true" outlineLevel="0" collapsed="false">
      <c r="A2" s="31" t="s">
        <v>821</v>
      </c>
      <c r="B2" s="31"/>
      <c r="C2" s="31"/>
      <c r="D2" s="31"/>
      <c r="E2" s="31"/>
    </row>
    <row r="3" customFormat="false" ht="15" hidden="false" customHeight="false" outlineLevel="0" collapsed="false">
      <c r="A3" s="31"/>
      <c r="B3" s="31"/>
      <c r="C3" s="31"/>
      <c r="D3" s="31"/>
      <c r="E3" s="31"/>
    </row>
    <row r="5" customFormat="false" ht="15" hidden="false" customHeight="false" outlineLevel="0" collapsed="false">
      <c r="A5" s="10" t="s">
        <v>822</v>
      </c>
      <c r="B5" s="10" t="s">
        <v>823</v>
      </c>
      <c r="C5" s="10" t="s">
        <v>824</v>
      </c>
      <c r="D5" s="10" t="s">
        <v>825</v>
      </c>
      <c r="E5" s="10" t="s">
        <v>826</v>
      </c>
    </row>
    <row r="6" customFormat="false" ht="30" hidden="false" customHeight="true" outlineLevel="0" collapsed="false">
      <c r="A6" s="7" t="s">
        <v>827</v>
      </c>
      <c r="B6" s="14" t="s">
        <v>828</v>
      </c>
      <c r="C6" s="7" t="s">
        <v>256</v>
      </c>
      <c r="D6" s="7" t="s">
        <v>829</v>
      </c>
      <c r="E6" s="7" t="s">
        <v>830</v>
      </c>
    </row>
    <row r="7" customFormat="false" ht="30" hidden="false" customHeight="true" outlineLevel="0" collapsed="false">
      <c r="A7" s="7" t="s">
        <v>831</v>
      </c>
      <c r="B7" s="14" t="s">
        <v>832</v>
      </c>
      <c r="C7" s="7" t="s">
        <v>321</v>
      </c>
      <c r="D7" s="7" t="s">
        <v>833</v>
      </c>
      <c r="E7" s="7" t="s">
        <v>834</v>
      </c>
    </row>
    <row r="8" customFormat="false" ht="30" hidden="false" customHeight="true" outlineLevel="0" collapsed="false">
      <c r="A8" s="7" t="s">
        <v>835</v>
      </c>
      <c r="B8" s="14" t="s">
        <v>836</v>
      </c>
      <c r="C8" s="7" t="s">
        <v>837</v>
      </c>
      <c r="D8" s="7" t="s">
        <v>838</v>
      </c>
      <c r="E8" s="7" t="s">
        <v>839</v>
      </c>
    </row>
    <row r="9" customFormat="false" ht="30" hidden="false" customHeight="true" outlineLevel="0" collapsed="false">
      <c r="A9" s="7" t="s">
        <v>840</v>
      </c>
      <c r="B9" s="14" t="s">
        <v>841</v>
      </c>
      <c r="C9" s="7" t="s">
        <v>842</v>
      </c>
      <c r="D9" s="7" t="s">
        <v>843</v>
      </c>
      <c r="E9" s="7" t="s">
        <v>844</v>
      </c>
    </row>
    <row r="10" customFormat="false" ht="30" hidden="false" customHeight="true" outlineLevel="0" collapsed="false">
      <c r="A10" s="7" t="s">
        <v>845</v>
      </c>
      <c r="B10" s="14" t="s">
        <v>846</v>
      </c>
      <c r="C10" s="7" t="s">
        <v>269</v>
      </c>
      <c r="D10" s="7" t="s">
        <v>833</v>
      </c>
      <c r="E10" s="7" t="s">
        <v>847</v>
      </c>
    </row>
    <row r="11" customFormat="false" ht="30" hidden="false" customHeight="true" outlineLevel="0" collapsed="false">
      <c r="A11" s="7" t="s">
        <v>848</v>
      </c>
      <c r="B11" s="14" t="s">
        <v>849</v>
      </c>
      <c r="C11" s="7" t="s">
        <v>850</v>
      </c>
      <c r="D11" s="7" t="s">
        <v>833</v>
      </c>
      <c r="E11" s="7" t="s">
        <v>851</v>
      </c>
    </row>
    <row r="12" customFormat="false" ht="30" hidden="false" customHeight="true" outlineLevel="0" collapsed="false">
      <c r="A12" s="7" t="s">
        <v>852</v>
      </c>
      <c r="B12" s="14" t="s">
        <v>853</v>
      </c>
      <c r="C12" s="7" t="s">
        <v>854</v>
      </c>
      <c r="D12" s="7" t="s">
        <v>68</v>
      </c>
      <c r="E12" s="7" t="s">
        <v>855</v>
      </c>
    </row>
    <row r="13" customFormat="false" ht="30" hidden="false" customHeight="true" outlineLevel="0" collapsed="false">
      <c r="A13" s="7" t="s">
        <v>856</v>
      </c>
      <c r="B13" s="14" t="s">
        <v>857</v>
      </c>
      <c r="C13" s="7" t="s">
        <v>858</v>
      </c>
      <c r="D13" s="7" t="s">
        <v>859</v>
      </c>
      <c r="E13" s="7" t="s">
        <v>860</v>
      </c>
    </row>
    <row r="14" customFormat="false" ht="30" hidden="false" customHeight="true" outlineLevel="0" collapsed="false">
      <c r="A14" s="7" t="s">
        <v>861</v>
      </c>
      <c r="B14" s="14" t="s">
        <v>862</v>
      </c>
      <c r="C14" s="7" t="s">
        <v>863</v>
      </c>
      <c r="D14" s="7" t="s">
        <v>864</v>
      </c>
      <c r="E14" s="7" t="s">
        <v>865</v>
      </c>
    </row>
    <row r="15" customFormat="false" ht="30" hidden="false" customHeight="true" outlineLevel="0" collapsed="false">
      <c r="A15" s="7" t="s">
        <v>866</v>
      </c>
      <c r="B15" s="14" t="s">
        <v>867</v>
      </c>
      <c r="C15" s="7" t="s">
        <v>588</v>
      </c>
      <c r="D15" s="7" t="s">
        <v>864</v>
      </c>
      <c r="E15" s="7" t="s">
        <v>868</v>
      </c>
    </row>
    <row r="16" customFormat="false" ht="30" hidden="false" customHeight="true" outlineLevel="0" collapsed="false">
      <c r="A16" s="7" t="s">
        <v>869</v>
      </c>
      <c r="B16" s="14" t="s">
        <v>870</v>
      </c>
      <c r="C16" s="7" t="s">
        <v>871</v>
      </c>
      <c r="D16" s="7" t="s">
        <v>872</v>
      </c>
      <c r="E16" s="7" t="s">
        <v>873</v>
      </c>
    </row>
    <row r="17" customFormat="false" ht="30" hidden="false" customHeight="true" outlineLevel="0" collapsed="false">
      <c r="A17" s="7" t="s">
        <v>874</v>
      </c>
      <c r="B17" s="14" t="s">
        <v>875</v>
      </c>
      <c r="C17" s="7" t="s">
        <v>876</v>
      </c>
      <c r="D17" s="7" t="s">
        <v>877</v>
      </c>
      <c r="E17" s="7" t="s">
        <v>878</v>
      </c>
    </row>
    <row r="18" customFormat="false" ht="30" hidden="false" customHeight="true" outlineLevel="0" collapsed="false">
      <c r="A18" s="7" t="s">
        <v>879</v>
      </c>
      <c r="B18" s="14" t="s">
        <v>880</v>
      </c>
      <c r="C18" s="7" t="s">
        <v>881</v>
      </c>
      <c r="D18" s="7" t="s">
        <v>877</v>
      </c>
      <c r="E18" s="7" t="s">
        <v>882</v>
      </c>
    </row>
    <row r="19" customFormat="false" ht="30" hidden="false" customHeight="true" outlineLevel="0" collapsed="false">
      <c r="A19" s="7" t="s">
        <v>883</v>
      </c>
      <c r="B19" s="14" t="s">
        <v>884</v>
      </c>
      <c r="C19" s="7" t="s">
        <v>885</v>
      </c>
      <c r="D19" s="7" t="s">
        <v>886</v>
      </c>
      <c r="E19" s="7" t="s">
        <v>518</v>
      </c>
    </row>
    <row r="20" customFormat="false" ht="30" hidden="false" customHeight="true" outlineLevel="0" collapsed="false">
      <c r="A20" s="7" t="s">
        <v>887</v>
      </c>
      <c r="B20" s="14" t="s">
        <v>888</v>
      </c>
      <c r="C20" s="7" t="s">
        <v>889</v>
      </c>
      <c r="D20" s="7" t="s">
        <v>890</v>
      </c>
      <c r="E20" s="7" t="s">
        <v>891</v>
      </c>
    </row>
    <row r="21" customFormat="false" ht="30" hidden="false" customHeight="true" outlineLevel="0" collapsed="false">
      <c r="A21" s="7" t="s">
        <v>892</v>
      </c>
      <c r="B21" s="14" t="s">
        <v>893</v>
      </c>
      <c r="C21" s="7" t="s">
        <v>894</v>
      </c>
      <c r="D21" s="7" t="s">
        <v>895</v>
      </c>
      <c r="E21" s="7" t="s">
        <v>896</v>
      </c>
    </row>
  </sheetData>
  <mergeCells count="2">
    <mergeCell ref="A1:E1"/>
    <mergeCell ref="A2: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74"/>
    <col collapsed="false" customWidth="true" hidden="false" outlineLevel="0" max="4" min="4" style="0" width="62"/>
    <col collapsed="false" customWidth="true" hidden="false" outlineLevel="0" max="5" min="5" style="0" width="34"/>
  </cols>
  <sheetData>
    <row r="1" customFormat="false" ht="16.15" hidden="false" customHeight="false" outlineLevel="0" collapsed="false">
      <c r="A1" s="3" t="s">
        <v>897</v>
      </c>
      <c r="B1" s="3"/>
      <c r="C1" s="3"/>
      <c r="D1" s="3"/>
      <c r="E1" s="3"/>
    </row>
    <row r="2" customFormat="false" ht="15" hidden="false" customHeight="false" outlineLevel="0" collapsed="false">
      <c r="A2" s="20" t="s">
        <v>898</v>
      </c>
      <c r="B2" s="20"/>
      <c r="C2" s="20"/>
      <c r="D2" s="20"/>
      <c r="E2" s="20"/>
    </row>
    <row r="4" customFormat="false" ht="15" hidden="false" customHeight="false" outlineLevel="0" collapsed="false">
      <c r="A4" s="10" t="s">
        <v>899</v>
      </c>
      <c r="B4" s="10" t="s">
        <v>885</v>
      </c>
      <c r="C4" s="10" t="s">
        <v>900</v>
      </c>
      <c r="D4" s="10" t="s">
        <v>901</v>
      </c>
      <c r="E4" s="10" t="s">
        <v>902</v>
      </c>
    </row>
    <row r="5" customFormat="false" ht="45.75" hidden="false" customHeight="true" outlineLevel="0" collapsed="false">
      <c r="A5" s="12" t="s">
        <v>903</v>
      </c>
      <c r="B5" s="7" t="s">
        <v>904</v>
      </c>
      <c r="C5" s="7" t="s">
        <v>905</v>
      </c>
      <c r="D5" s="7" t="s">
        <v>906</v>
      </c>
      <c r="E5" s="32"/>
    </row>
    <row r="6" customFormat="false" ht="45.75" hidden="false" customHeight="true" outlineLevel="0" collapsed="false">
      <c r="A6" s="12" t="s">
        <v>907</v>
      </c>
      <c r="B6" s="7" t="s">
        <v>904</v>
      </c>
      <c r="C6" s="7" t="s">
        <v>908</v>
      </c>
      <c r="D6" s="7" t="s">
        <v>909</v>
      </c>
      <c r="E6" s="32"/>
    </row>
    <row r="7" customFormat="false" ht="45.75" hidden="false" customHeight="true" outlineLevel="0" collapsed="false">
      <c r="A7" s="12" t="s">
        <v>910</v>
      </c>
      <c r="B7" s="7" t="s">
        <v>911</v>
      </c>
      <c r="C7" s="7" t="s">
        <v>912</v>
      </c>
      <c r="D7" s="7" t="s">
        <v>913</v>
      </c>
      <c r="E7" s="32"/>
    </row>
    <row r="8" customFormat="false" ht="45.75" hidden="false" customHeight="true" outlineLevel="0" collapsed="false">
      <c r="A8" s="12" t="s">
        <v>914</v>
      </c>
      <c r="B8" s="7" t="s">
        <v>915</v>
      </c>
      <c r="C8" s="7" t="s">
        <v>916</v>
      </c>
      <c r="D8" s="7" t="s">
        <v>917</v>
      </c>
      <c r="E8" s="32"/>
    </row>
    <row r="9" customFormat="false" ht="45.75" hidden="false" customHeight="true" outlineLevel="0" collapsed="false">
      <c r="A9" s="12" t="s">
        <v>918</v>
      </c>
      <c r="B9" s="7" t="s">
        <v>915</v>
      </c>
      <c r="C9" s="7" t="s">
        <v>919</v>
      </c>
      <c r="D9" s="7" t="s">
        <v>920</v>
      </c>
      <c r="E9" s="32"/>
    </row>
    <row r="10" customFormat="false" ht="45.75" hidden="false" customHeight="true" outlineLevel="0" collapsed="false">
      <c r="A10" s="12" t="s">
        <v>921</v>
      </c>
      <c r="B10" s="7" t="s">
        <v>915</v>
      </c>
      <c r="C10" s="7" t="s">
        <v>922</v>
      </c>
      <c r="D10" s="7" t="s">
        <v>923</v>
      </c>
      <c r="E10" s="32"/>
    </row>
    <row r="11" customFormat="false" ht="45.75" hidden="false" customHeight="true" outlineLevel="0" collapsed="false">
      <c r="A11" s="12" t="s">
        <v>924</v>
      </c>
      <c r="B11" s="7" t="s">
        <v>925</v>
      </c>
      <c r="C11" s="7" t="s">
        <v>926</v>
      </c>
      <c r="D11" s="7" t="s">
        <v>927</v>
      </c>
      <c r="E11" s="32"/>
    </row>
    <row r="12" customFormat="false" ht="45.75" hidden="false" customHeight="true" outlineLevel="0" collapsed="false">
      <c r="A12" s="12" t="s">
        <v>928</v>
      </c>
      <c r="B12" s="7" t="s">
        <v>929</v>
      </c>
      <c r="C12" s="7" t="s">
        <v>930</v>
      </c>
      <c r="D12" s="7" t="s">
        <v>931</v>
      </c>
      <c r="E12" s="32"/>
    </row>
    <row r="13" customFormat="false" ht="45.75" hidden="false" customHeight="true" outlineLevel="0" collapsed="false">
      <c r="A13" s="12" t="s">
        <v>932</v>
      </c>
      <c r="B13" s="7" t="s">
        <v>933</v>
      </c>
      <c r="C13" s="7" t="s">
        <v>934</v>
      </c>
      <c r="D13" s="7" t="s">
        <v>935</v>
      </c>
      <c r="E13" s="32"/>
    </row>
    <row r="14" customFormat="false" ht="45.75" hidden="false" customHeight="true" outlineLevel="0" collapsed="false">
      <c r="A14" s="12" t="s">
        <v>936</v>
      </c>
      <c r="B14" s="7" t="s">
        <v>933</v>
      </c>
      <c r="C14" s="7" t="s">
        <v>937</v>
      </c>
      <c r="D14" s="7" t="s">
        <v>938</v>
      </c>
      <c r="E14" s="32"/>
    </row>
    <row r="15" customFormat="false" ht="45.75" hidden="false" customHeight="true" outlineLevel="0" collapsed="false">
      <c r="A15" s="12" t="s">
        <v>939</v>
      </c>
      <c r="B15" s="7" t="s">
        <v>940</v>
      </c>
      <c r="C15" s="7" t="s">
        <v>941</v>
      </c>
      <c r="D15" s="7" t="s">
        <v>942</v>
      </c>
      <c r="E15" s="32"/>
    </row>
    <row r="16" customFormat="false" ht="45.75" hidden="false" customHeight="true" outlineLevel="0" collapsed="false">
      <c r="A16" s="12" t="s">
        <v>943</v>
      </c>
      <c r="B16" s="7" t="s">
        <v>944</v>
      </c>
      <c r="C16" s="7" t="s">
        <v>945</v>
      </c>
      <c r="D16" s="7" t="s">
        <v>946</v>
      </c>
      <c r="E16" s="32"/>
    </row>
    <row r="17" customFormat="false" ht="45.75" hidden="false" customHeight="true" outlineLevel="0" collapsed="false">
      <c r="A17" s="12" t="s">
        <v>947</v>
      </c>
      <c r="B17" s="7" t="s">
        <v>948</v>
      </c>
      <c r="C17" s="7" t="s">
        <v>949</v>
      </c>
      <c r="D17" s="7" t="s">
        <v>950</v>
      </c>
      <c r="E17" s="32"/>
    </row>
    <row r="18" customFormat="false" ht="45.75" hidden="false" customHeight="true" outlineLevel="0" collapsed="false">
      <c r="A18" s="12" t="s">
        <v>951</v>
      </c>
      <c r="B18" s="7" t="s">
        <v>952</v>
      </c>
      <c r="C18" s="7" t="s">
        <v>953</v>
      </c>
      <c r="D18" s="7" t="s">
        <v>954</v>
      </c>
      <c r="E18" s="32"/>
    </row>
    <row r="19" customFormat="false" ht="45.75" hidden="false" customHeight="true" outlineLevel="0" collapsed="false">
      <c r="A19" s="12" t="s">
        <v>955</v>
      </c>
      <c r="B19" s="7" t="s">
        <v>956</v>
      </c>
      <c r="C19" s="7" t="s">
        <v>957</v>
      </c>
      <c r="D19" s="7" t="s">
        <v>958</v>
      </c>
      <c r="E19" s="32"/>
    </row>
    <row r="20" customFormat="false" ht="45.75" hidden="false" customHeight="true" outlineLevel="0" collapsed="false">
      <c r="A20" s="12" t="s">
        <v>959</v>
      </c>
      <c r="B20" s="7" t="s">
        <v>960</v>
      </c>
      <c r="C20" s="7" t="s">
        <v>961</v>
      </c>
      <c r="D20" s="7" t="s">
        <v>962</v>
      </c>
      <c r="E20" s="32"/>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2026-08-10T09:52:54Z</dcterms:created>
  <dc:creator>openpyxl</dc:creator>
  <dc:description/>
  <dc:language>en-US</dc:language>
  <cp:lastModifiedBy/>
  <dcterms:modified xsi:type="dcterms:W3CDTF">2026-08-10T09:52:54Z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